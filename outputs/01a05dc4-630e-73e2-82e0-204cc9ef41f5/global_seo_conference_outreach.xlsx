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4f122ea0df45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39d1539f1aa44594"/>
    <x:sheet xmlns:r="http://schemas.openxmlformats.org/officeDocument/2006/relationships" name="Conference Tracker" sheetId="2" r:id="Rf12ab8d4339647d8"/>
    <x:sheet xmlns:r="http://schemas.openxmlformats.org/officeDocument/2006/relationships" name="Outreach Playbook" sheetId="3" r:id="R57316ae97e3645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9">
    <x:font>
      <x:sz val="11"/>
      <x:name val="Carlito"/>
    </x:font>
    <x:font>
      <x:b/>
      <x:sz val="20"/>
      <x:color rgb="FFFFFFFF"/>
      <x:name val="Carlito"/>
    </x:font>
    <x:font>
      <x:sz val="11"/>
      <x:color rgb="FF64748B"/>
      <x:name val="Carlito"/>
    </x:font>
    <x:font>
      <x:b/>
      <x:sz val="11"/>
      <x:color rgb="FFB91C1C"/>
      <x:name val="Carlito"/>
    </x:font>
    <x:font>
      <x:b/>
      <x:sz val="22"/>
      <x:color rgb="FFB91C1C"/>
      <x:name val="Carlito"/>
    </x:font>
    <x:font>
      <x:b/>
      <x:sz val="11"/>
      <x:color rgb="FFA16207"/>
      <x:name val="Carlito"/>
    </x:font>
    <x:font>
      <x:b/>
      <x:sz val="22"/>
      <x:color rgb="FFA16207"/>
      <x:name val="Carlito"/>
    </x:font>
    <x:font>
      <x:b/>
      <x:sz val="11"/>
      <x:color rgb="FF2563EB"/>
      <x:name val="Carlito"/>
    </x:font>
    <x:font>
      <x:b/>
      <x:sz val="22"/>
      <x:color rgb="FF2563EB"/>
      <x:name val="Carlito"/>
    </x:font>
    <x:font>
      <x:b/>
      <x:sz val="11"/>
      <x:color rgb="FF0F766E"/>
      <x:name val="Carlito"/>
    </x:font>
    <x:font>
      <x:b/>
      <x:sz val="22"/>
      <x:color rgb="FF0F766E"/>
      <x:name val="Carlito"/>
    </x:font>
    <x:font>
      <x:b/>
      <x:sz val="11"/>
      <x:color rgb="FFC2410C"/>
      <x:name val="Carlito"/>
    </x:font>
    <x:font>
      <x:b/>
      <x:sz val="13"/>
      <x:color rgb="FFFFFFF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color rgb="FF64748B"/>
      <x:name val="Aptos"/>
    </x:font>
    <x:font>
      <x:sz val="10"/>
      <x:name val="Aptos"/>
    </x:font>
    <x:font>
      <x:b/>
      <x:sz val="10"/>
      <x:color rgb="FFB91C1C"/>
      <x:name val="Aptos"/>
    </x:font>
    <x:font>
      <x:b/>
      <x:sz val="10"/>
      <x:color rgb="FFA16207"/>
      <x:name val="Aptos"/>
    </x:font>
    <x:font>
      <x:b/>
      <x:sz val="10"/>
      <x:color rgb="FF2563EB"/>
      <x:name val="Aptos"/>
    </x:font>
    <x:font>
      <x:b/>
      <x:sz val="10"/>
      <x:color rgb="FF0F766E"/>
      <x:name val="Aptos"/>
    </x:font>
    <x:font>
      <x:b/>
      <x:sz val="10"/>
      <x:color rgb="FFC2410C"/>
      <x:name val="Aptos"/>
    </x:font>
    <x:font>
      <x:b/>
      <x:sz val="20"/>
      <x:color rgb="FFFFFFFF"/>
      <x:name val="Aptos Display"/>
    </x:font>
    <x:font>
      <x:sz val="10"/>
      <x:color rgb="FF64748B"/>
      <x:name val="Carlito"/>
    </x:font>
    <x:font>
      <x:b/>
      <x:sz val="10"/>
      <x:color rgb="FFFFFFFF"/>
      <x:name val="Carlito"/>
    </x:font>
    <x:font>
      <x:sz val="9"/>
      <x:name val="Aptos"/>
    </x:font>
    <x:font>
      <x:b/>
      <x:sz val="9"/>
      <x:name val="Aptos"/>
    </x:font>
    <x:font>
      <x:sz val="9"/>
      <x:color rgb="FF2563EB"/>
      <x:name val="Aptos"/>
    </x:font>
    <x:font>
      <x:sz val="10"/>
      <x:color rgb="FF102A43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102A43"/>
      </x:patternFill>
    </x:fill>
    <x:fill>
      <x:patternFill patternType="solid">
        <x:fgColor rgb="FFF5F7FA"/>
      </x:patternFill>
    </x:fill>
    <x:fill>
      <x:patternFill patternType="solid">
        <x:fgColor rgb="FFFEE2E2"/>
      </x:patternFill>
    </x:fill>
    <x:fill>
      <x:patternFill patternType="solid">
        <x:fgColor rgb="FFFEF3C7"/>
      </x:patternFill>
    </x:fill>
    <x:fill>
      <x:patternFill patternType="solid">
        <x:fgColor rgb="FFE8F0FE"/>
      </x:patternFill>
    </x:fill>
    <x:fill>
      <x:patternFill patternType="solid">
        <x:fgColor rgb="FFDDF4F1"/>
      </x:patternFill>
    </x:fill>
    <x:fill>
      <x:patternFill patternType="solid">
        <x:fgColor rgb="FFFFF1E6"/>
      </x:patternFill>
    </x:fill>
    <x:fill>
      <x:patternFill patternType="solid">
        <x:fgColor rgb="FF0F766E"/>
      </x:patternFill>
    </x:fill>
    <x:fill>
      <x:patternFill patternType="solid">
        <x:fgColor rgb="FFC2410C"/>
      </x:patternFill>
    </x:fill>
  </x:fills>
  <x:borders count="3">
    <x:border/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FFFFF"/>
      </x:left>
      <x:right style="thin">
        <x:color rgb="FFFFFFFF"/>
      </x:right>
      <x:top style="thin">
        <x:color rgb="FFFFFFFF"/>
      </x:top>
      <x:bottom style="thin">
        <x:color rgb="FFFFFFFF"/>
      </x:bottom>
    </x:border>
  </x:borders>
  <x:cellStyleXfs count="1">
    <x:xf numFmtId="0" fontId="0" fillId="0" borderId="0"/>
  </x:cellStyleXfs>
  <x:cellXfs count="12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horizontal="center" wrapText="1"/>
    </x:xf>
    <x:xf numFmtId="0" fontId="5" fillId="5" borderId="0" xfId="0" applyNumberFormat="1" applyFont="1" applyFill="1" applyBorder="1" applyAlignment="1">
      <x:alignment horizontal="center"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horizontal="center"/>
    </x:xf>
    <x:xf numFmtId="0" fontId="6" fillId="5" borderId="0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horizontal="center" wrapText="1"/>
    </x:xf>
    <x:xf numFmtId="0" fontId="7" fillId="6" borderId="0" xfId="0" applyNumberFormat="1" applyFont="1" applyFill="1" applyBorder="1" applyAlignment="1">
      <x:alignment horizontal="center" vertical="center" wrapText="1"/>
    </x:xf>
    <x:xf numFmtId="0" fontId="8" fillId="6" borderId="0" xfId="0" applyNumberFormat="1" applyFont="1" applyFill="1" applyBorder="1"/>
    <x:xf numFmtId="0" fontId="8" fillId="6" borderId="0" xfId="0" applyNumberFormat="1" applyFont="1" applyFill="1" applyBorder="1" applyAlignment="1">
      <x:alignment horizontal="center"/>
    </x:xf>
    <x:xf numFmtId="0" fontId="8" fillId="6" borderId="0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9" fillId="7" borderId="0" xfId="0" applyNumberFormat="1" applyFont="1" applyFill="1" applyBorder="1"/>
    <x:xf numFmtId="0" fontId="9" fillId="7" borderId="0" xfId="0" applyNumberFormat="1" applyFont="1" applyFill="1" applyBorder="1" applyAlignment="1">
      <x:alignment wrapText="1"/>
    </x:xf>
    <x:xf numFmtId="0" fontId="9" fillId="7" borderId="0" xfId="0" applyNumberFormat="1" applyFont="1" applyFill="1" applyBorder="1" applyAlignment="1">
      <x:alignment horizontal="center" wrapText="1"/>
    </x:xf>
    <x:xf numFmtId="0" fontId="9" fillId="7" borderId="0" xfId="0" applyNumberFormat="1" applyFont="1" applyFill="1" applyBorder="1" applyAlignment="1">
      <x:alignment horizontal="center" vertical="center" wrapText="1"/>
    </x:xf>
    <x:xf numFmtId="0" fontId="10" fillId="7" borderId="0" xfId="0" applyNumberFormat="1" applyFont="1" applyFill="1" applyBorder="1"/>
    <x:xf numFmtId="0" fontId="10" fillId="7" borderId="0" xfId="0" applyNumberFormat="1" applyFont="1" applyFill="1" applyBorder="1" applyAlignment="1">
      <x:alignment horizontal="center"/>
    </x:xf>
    <x:xf numFmtId="0" fontId="10" fillId="7" borderId="0" xfId="0" applyNumberFormat="1" applyFont="1" applyFill="1" applyBorder="1" applyAlignment="1">
      <x:alignment horizontal="center" vertical="center"/>
    </x:xf>
    <x:xf numFmtId="0" fontId="0" fillId="8" borderId="0" xfId="0" applyNumberFormat="1" applyFont="1" applyFill="1" applyBorder="1"/>
    <x:xf numFmtId="0" fontId="11" fillId="8" borderId="0" xfId="0" applyNumberFormat="1" applyFont="1" applyFill="1" applyBorder="1"/>
    <x:xf numFmtId="0" fontId="11" fillId="8" borderId="0" xfId="0" applyNumberFormat="1" applyFont="1" applyFill="1" applyBorder="1" applyAlignment="1">
      <x:alignment wrapText="1"/>
    </x:xf>
    <x:xf numFmtId="0" fontId="11" fillId="8" borderId="0" xfId="0" applyNumberFormat="1" applyFont="1" applyFill="1" applyBorder="1" applyAlignment="1">
      <x:alignment vertical="center" wrapText="1"/>
    </x:xf>
    <x:xf numFmtId="0" fontId="9" fillId="7" borderId="0" xfId="0" applyNumberFormat="1" applyFont="1" applyFill="1" applyBorder="1" applyAlignment="1">
      <x:alignment vertical="center" wrapText="1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vertical="center"/>
    </x:xf>
    <x:xf numFmtId="0" fontId="13" fillId="2" borderId="0" xfId="0" applyNumberFormat="1" applyFont="1" applyFill="1" applyBorder="1"/>
    <x:xf numFmtId="0" fontId="13" fillId="2" borderId="0" xfId="0" applyNumberFormat="1" applyFont="1" applyFill="1" applyBorder="1" applyAlignment="1">
      <x:alignment wrapText="1"/>
    </x:xf>
    <x:xf numFmtId="0" fontId="13" fillId="2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/>
    </x:xf>
    <x:xf numFmtId="0" fontId="12" fillId="2" borderId="0" xfId="0" applyNumberFormat="1" applyFont="1" applyFill="1" applyBorder="1"/>
    <x:xf numFmtId="0" fontId="12" fillId="2" borderId="0" xfId="0" applyNumberFormat="1" applyFont="1" applyFill="1" applyBorder="1" applyAlignment="1">
      <x:alignment wrapText="1"/>
    </x:xf>
    <x:xf numFmtId="0" fontId="12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wrapText="1"/>
    </x:xf>
    <x:xf numFmtId="0" fontId="14" fillId="2" borderId="0" xfId="0" applyNumberFormat="1" applyFont="1" applyFill="1" applyBorder="1" applyAlignment="1">
      <x:alignment horizontal="left" vertical="center"/>
    </x:xf>
    <x:xf numFmtId="0" fontId="15" fillId="3" borderId="0" xfId="0" applyNumberFormat="1" applyFont="1" applyFill="1" applyBorder="1" applyAlignment="1">
      <x:alignment vertical="center" wrapText="1"/>
    </x:xf>
    <x:xf numFmtId="0" fontId="16" fillId="0" borderId="0" xfId="0" applyNumberFormat="1" applyFont="1" applyFill="1" applyBorder="1"/>
    <x:xf numFmtId="0" fontId="17" fillId="4" borderId="0" xfId="0" applyNumberFormat="1" applyFont="1" applyFill="1" applyBorder="1" applyAlignment="1">
      <x:alignment horizontal="center" vertical="center" wrapText="1"/>
    </x:xf>
    <x:xf numFmtId="0" fontId="18" fillId="5" borderId="0" xfId="0" applyNumberFormat="1" applyFont="1" applyFill="1" applyBorder="1" applyAlignment="1">
      <x:alignment horizontal="center" vertical="center" wrapText="1"/>
    </x:xf>
    <x:xf numFmtId="0" fontId="19" fillId="6" borderId="0" xfId="0" applyNumberFormat="1" applyFont="1" applyFill="1" applyBorder="1" applyAlignment="1">
      <x:alignment horizontal="center" vertical="center" wrapText="1"/>
    </x:xf>
    <x:xf numFmtId="0" fontId="20" fillId="7" borderId="0" xfId="0" applyNumberFormat="1" applyFont="1" applyFill="1" applyBorder="1" applyAlignment="1">
      <x:alignment horizontal="center" vertical="center" wrapText="1"/>
    </x:xf>
    <x:xf numFmtId="0" fontId="17" fillId="4" borderId="0" xfId="0" applyNumberFormat="1" applyFont="1" applyFill="1" applyBorder="1" applyAlignment="1">
      <x:alignment horizontal="center" vertical="center"/>
    </x:xf>
    <x:xf numFmtId="0" fontId="18" fillId="5" borderId="0" xfId="0" applyNumberFormat="1" applyFont="1" applyFill="1" applyBorder="1" applyAlignment="1">
      <x:alignment horizontal="center" vertical="center"/>
    </x:xf>
    <x:xf numFmtId="0" fontId="19" fillId="6" borderId="0" xfId="0" applyNumberFormat="1" applyFont="1" applyFill="1" applyBorder="1" applyAlignment="1">
      <x:alignment horizontal="center" vertical="center"/>
    </x:xf>
    <x:xf numFmtId="0" fontId="20" fillId="7" borderId="0" xfId="0" applyNumberFormat="1" applyFont="1" applyFill="1" applyBorder="1" applyAlignment="1">
      <x:alignment horizontal="center" vertical="center"/>
    </x:xf>
    <x:xf numFmtId="0" fontId="21" fillId="8" borderId="0" xfId="0" applyNumberFormat="1" applyFont="1" applyFill="1" applyBorder="1" applyAlignment="1">
      <x:alignment vertical="center" wrapText="1"/>
    </x:xf>
    <x:xf numFmtId="0" fontId="20" fillId="7" borderId="0" xfId="0" applyNumberFormat="1" applyFont="1" applyFill="1" applyBorder="1" applyAlignment="1">
      <x:alignment vertical="center" wrapText="1"/>
    </x:xf>
    <x:xf numFmtId="0" fontId="14" fillId="9" borderId="0" xfId="0" applyNumberFormat="1" applyFont="1" applyFill="1" applyBorder="1" applyAlignment="1">
      <x:alignment vertical="center"/>
    </x:xf>
    <x:xf numFmtId="0" fontId="14" fillId="2" borderId="0" xfId="0" applyNumberFormat="1" applyFont="1" applyFill="1" applyBorder="1"/>
    <x:xf numFmtId="0" fontId="14" fillId="2" borderId="0" xfId="0" applyNumberFormat="1" applyFont="1" applyFill="1" applyBorder="1" applyAlignment="1">
      <x:alignment vertical="center" wrapText="1"/>
    </x:xf>
    <x:xf numFmtId="0" fontId="16" fillId="0" borderId="1" xfId="0" applyNumberFormat="1" applyFont="1" applyFill="1" applyBorder="1" applyAlignment="1">
      <x:alignment horizontal="center"/>
    </x:xf>
    <x:xf numFmtId="0" fontId="17" fillId="4" borderId="1" xfId="0" applyNumberFormat="1" applyFont="1" applyFill="1" applyBorder="1" applyAlignment="1">
      <x:alignment horizontal="center" vertical="top" wrapText="1"/>
    </x:xf>
    <x:xf numFmtId="0" fontId="16" fillId="0" borderId="1" xfId="0" applyNumberFormat="1" applyFont="1" applyFill="1" applyBorder="1" applyAlignment="1">
      <x:alignment vertical="top" wrapText="1"/>
    </x:xf>
    <x:xf numFmtId="0" fontId="19" fillId="6" borderId="1" xfId="0" applyNumberFormat="1" applyFont="1" applyFill="1" applyBorder="1" applyAlignment="1">
      <x:alignment wrapText="1"/>
    </x:xf>
    <x:xf numFmtId="0" fontId="16" fillId="0" borderId="1" xfId="0" applyNumberFormat="1" applyFont="1" applyFill="1" applyBorder="1" applyAlignment="1">
      <x:alignment wrapText="1"/>
    </x:xf>
    <x:xf numFmtId="0" fontId="22" fillId="2" borderId="0" xfId="0" applyNumberFormat="1" applyFont="1" applyFill="1" applyBorder="1" applyAlignment="1">
      <x:alignment horizontal="left" vertical="center"/>
    </x:xf>
    <x:xf numFmtId="0" fontId="23" fillId="3" borderId="0" xfId="0" applyNumberFormat="1" applyFont="1" applyFill="1" applyBorder="1"/>
    <x:xf numFmtId="0" fontId="23" fillId="3" borderId="0" xfId="0" applyNumberFormat="1" applyFont="1" applyFill="1" applyBorder="1" applyAlignment="1">
      <x:alignment wrapText="1"/>
    </x:xf>
    <x:xf numFmtId="0" fontId="23" fillId="3" borderId="0" xfId="0" applyNumberFormat="1" applyFont="1" applyFill="1" applyBorder="1" applyAlignment="1">
      <x:alignment vertical="center" wrapText="1"/>
    </x:xf>
    <x:xf numFmtId="0" fontId="24" fillId="2" borderId="0" xfId="0" applyNumberFormat="1" applyFont="1" applyFill="1" applyBorder="1"/>
    <x:xf numFmtId="0" fontId="24" fillId="2" borderId="2" xfId="0" applyNumberFormat="1" applyFont="1" applyFill="1" applyBorder="1"/>
    <x:xf numFmtId="0" fontId="24" fillId="2" borderId="2" xfId="0" applyNumberFormat="1" applyFont="1" applyFill="1" applyBorder="1" applyAlignment="1">
      <x:alignment wrapText="1"/>
    </x:xf>
    <x:xf numFmtId="0" fontId="24" fillId="2" borderId="2" xfId="0" applyNumberFormat="1" applyFont="1" applyFill="1" applyBorder="1" applyAlignment="1">
      <x:alignment horizontal="center" wrapText="1"/>
    </x:xf>
    <x:xf numFmtId="0" fontId="24" fillId="2" borderId="2" xfId="0" applyNumberFormat="1" applyFont="1" applyFill="1" applyBorder="1" applyAlignment="1">
      <x:alignment horizontal="center" vertical="center" wrapText="1"/>
    </x:xf>
    <x:xf numFmtId="0" fontId="25" fillId="0" borderId="0" xfId="0" applyNumberFormat="1" applyFont="1" applyFill="1" applyBorder="1"/>
    <x:xf numFmtId="0" fontId="25" fillId="0" borderId="1" xfId="0" applyNumberFormat="1" applyFont="1" applyFill="1" applyBorder="1"/>
    <x:xf numFmtId="0" fontId="25" fillId="0" borderId="1" xfId="0" applyNumberFormat="1" applyFont="1" applyFill="1" applyBorder="1" applyAlignment="1">
      <x:alignment wrapText="1"/>
    </x:xf>
    <x:xf numFmtId="0" fontId="25" fillId="0" borderId="1" xfId="0" applyNumberFormat="1" applyFont="1" applyFill="1" applyBorder="1" applyAlignment="1">
      <x:alignment vertical="top" wrapText="1"/>
    </x:xf>
    <x:xf numFmtId="0" fontId="26" fillId="0" borderId="1" xfId="0" applyNumberFormat="1" applyFont="1" applyFill="1" applyBorder="1" applyAlignment="1">
      <x:alignment vertical="top" wrapText="1"/>
    </x:xf>
    <x:xf numFmtId="0" fontId="27" fillId="0" borderId="1" xfId="0" applyNumberFormat="1" applyFont="1" applyFill="1" applyBorder="1" applyAlignment="1">
      <x:alignment vertical="top" wrapText="1"/>
    </x:xf>
    <x:xf numFmtId="0" fontId="25" fillId="0" borderId="1" xfId="0" applyNumberFormat="1" applyFont="1" applyFill="1" applyBorder="1" applyAlignment="1">
      <x:alignment horizontal="center" vertical="top" wrapText="1"/>
    </x:xf>
    <x:xf numFmtId="0" fontId="12" fillId="9" borderId="0" xfId="0" applyNumberFormat="1" applyFont="1" applyFill="1" applyBorder="1" applyAlignment="1">
      <x:alignment wrapText="1"/>
    </x:xf>
    <x:xf numFmtId="0" fontId="12" fillId="9" borderId="0" xfId="0" applyNumberFormat="1" applyFont="1" applyFill="1" applyBorder="1" applyAlignment="1">
      <x:alignment vertical="center" wrapText="1"/>
    </x:xf>
    <x:xf numFmtId="0" fontId="13" fillId="2" borderId="1" xfId="0" applyNumberFormat="1" applyFont="1" applyFill="1" applyBorder="1"/>
    <x:xf numFmtId="0" fontId="13" fillId="2" borderId="1" xfId="0" applyNumberFormat="1" applyFont="1" applyFill="1" applyBorder="1" applyAlignment="1">
      <x:alignment wrapText="1"/>
    </x:xf>
    <x:xf numFmtId="0" fontId="13" fillId="2" borderId="1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 applyAlignment="1">
      <x:alignment vertical="top" wrapText="1"/>
    </x:xf>
    <x:xf numFmtId="0" fontId="7" fillId="6" borderId="1" xfId="0" applyNumberFormat="1" applyFont="1" applyFill="1" applyBorder="1" applyAlignment="1">
      <x:alignment vertical="top" wrapText="1"/>
    </x:xf>
    <x:xf numFmtId="0" fontId="7" fillId="6" borderId="0" xfId="0" applyNumberFormat="1" applyFont="1" applyFill="1" applyBorder="1" applyAlignment="1">
      <x:alignment vertical="center" wrapText="1"/>
    </x:xf>
    <x:xf numFmtId="0" fontId="28" fillId="3" borderId="0" xfId="0" applyNumberFormat="1" applyFont="1" applyFill="1" applyBorder="1"/>
    <x:xf numFmtId="0" fontId="28" fillId="3" borderId="0" xfId="0" applyNumberFormat="1" applyFont="1" applyFill="1" applyBorder="1" applyAlignment="1">
      <x:alignment wrapText="1"/>
    </x:xf>
    <x:xf numFmtId="0" fontId="28" fillId="3" borderId="0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/>
    <x:xf numFmtId="0" fontId="12" fillId="10" borderId="0" xfId="0" applyNumberFormat="1" applyFont="1" applyFill="1" applyBorder="1"/>
    <x:xf numFmtId="0" fontId="12" fillId="10" borderId="0" xfId="0" applyNumberFormat="1" applyFont="1" applyFill="1" applyBorder="1" applyAlignment="1">
      <x:alignment wrapText="1"/>
    </x:xf>
    <x:xf numFmtId="0" fontId="12" fillId="1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5">
    <x:dxf>
      <x:font>
        <x:b/>
        <x:color rgb="FFB91C1C"/>
      </x:font>
      <x:fill>
        <x:patternFill patternType="solid">
          <x:bgColor rgb="FFFEE2E2"/>
        </x:patternFill>
      </x:fill>
    </x:dxf>
    <x:dxf>
      <x:font>
        <x:b/>
        <x:color rgb="FFA16207"/>
      </x:font>
      <x:fill>
        <x:patternFill patternType="solid">
          <x:bgColor rgb="FFFEF3C7"/>
        </x:patternFill>
      </x:fill>
    </x:dxf>
    <x:dxf>
      <x:font>
        <x:b/>
        <x:color rgb="FF2563EB"/>
      </x:font>
      <x:fill>
        <x:patternFill patternType="solid">
          <x:bgColor rgb="FFE8F0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9634a78e3a84665" /><Relationship Type="http://schemas.openxmlformats.org/officeDocument/2006/relationships/theme" Target="/xl/theme/theme1.xml" Id="Rdd789678c4184e1e" /><Relationship Type="http://schemas.openxmlformats.org/officeDocument/2006/relationships/sharedStrings" Target="/xl/sharedStrings.xml" Id="R022e9850b9c84d2b" /><Relationship Type="http://schemas.openxmlformats.org/officeDocument/2006/relationships/worksheet" Target="/xl/worksheets/sheet1.xml" Id="R39d1539f1aa44594" /><Relationship Type="http://schemas.openxmlformats.org/officeDocument/2006/relationships/worksheet" Target="/xl/worksheets/sheet2.xml" Id="Rf12ab8d4339647d8" /><Relationship Type="http://schemas.openxmlformats.org/officeDocument/2006/relationships/worksheet" Target="/xl/worksheets/sheet3.xml" Id="R57316ae97e36452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535396199924c78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非美国会议区域分布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会议数</c:v>
          </c:tx>
          <c:cat>
            <c:strRef>
              <c:f>'Dashboard'!$J$14:$J$19</c:f>
              <c:strCache>
                <c:ptCount val="0"/>
              </c:strCache>
            </c:strRef>
          </c:cat>
          <c:val>
            <c:numRef>
              <c:f>'Dashboard'!$K$14:$K$19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9</xdr:col>
      <xdr:colOff>0</xdr:colOff>
      <xdr:row>20</xdr:row>
      <xdr:rowOff>0</xdr:rowOff>
    </xdr:from>
    <xdr:to>
      <xdr:col>16</xdr:col>
      <xdr:colOff>0</xdr:colOff>
      <xdr:row>35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535396199924c78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SEOConferenceTracker" displayName="SEOConferenceTracker" ref="A5:S38" headerRowCount="1" totalsRowCount="0" totalsRowShown="0">
  <x:autoFilter ref="A5:S38"/>
  <x:tableColumns count="19">
    <x:tableColumn id="1" name="优先级"/>
    <x:tableColumn id="2" name="会议"/>
    <x:tableColumn id="3" name="区域"/>
    <x:tableColumn id="4" name="国家 / 城市"/>
    <x:tableColumn id="5" name="下一场 / 最近场日期"/>
    <x:tableColumn id="6" name="时间状态"/>
    <x:tableColumn id="7" name="官方联系人 / 团队"/>
    <x:tableColumn id="8" name="邮箱 / 电话 / 联系方式"/>
    <x:tableColumn id="9" name="赞助 / 合作入口"/>
    <x:tableColumn id="10" name="官方网站"/>
    <x:tableColumn id="11" name="规模 / 受众"/>
    <x:tableColumn id="12" name="推荐切入点"/>
    <x:tableColumn id="13" name="建议下一步"/>
    <x:tableColumn id="14" name="外联状态"/>
    <x:tableColumn id="15" name="负责人"/>
    <x:tableColumn id="16" name="上次联系"/>
    <x:tableColumn id="17" name="下次跟进"/>
    <x:tableColumn id="18" name="核验日期"/>
    <x:tableColumn id="19" name="信息来源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ba7dbe813a6461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9ae18af4ddf4dd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24" hidden="0" customWidth="1"/>
    <x:col min="3" max="3" width="20" hidden="0" customWidth="1"/>
    <x:col min="4" max="4" width="22" hidden="0" customWidth="1"/>
    <x:col min="5" max="5" width="22" hidden="0" customWidth="1"/>
    <x:col min="6" max="6" width="18" hidden="0" customWidth="1"/>
    <x:col min="7" max="7" width="14" hidden="0" customWidth="1"/>
    <x:col min="8" max="8" width="24" hidden="0" customWidth="1"/>
    <x:col min="9" max="9" width="15" hidden="0" customWidth="1"/>
    <x:col min="10" max="10" width="18" hidden="0" customWidth="1"/>
    <x:col min="11" max="11" width="14" hidden="0" customWidth="1"/>
    <x:col min="12" max="12" width="14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</x:cols>
  <x:sheetData>
    <x:row r="1" ht="30" customHeight="1">
      <x:c r="A1" s="85" t="str">
        <x:v>Global SEO Conference Outreach Radar — 非美国场次</x:v>
      </x:c>
      <x:c r="B1" s="85" t="str">
        <x:v>Global SEO Conference Outreach Radar — 非美国场次</x:v>
      </x:c>
      <x:c r="C1" s="85" t="str">
        <x:v>Global SEO Conference Outreach Radar — 非美国场次</x:v>
      </x:c>
      <x:c r="D1" s="85" t="str">
        <x:v>Global SEO Conference Outreach Radar — 非美国场次</x:v>
      </x:c>
      <x:c r="E1" s="85" t="str">
        <x:v>Global SEO Conference Outreach Radar — 非美国场次</x:v>
      </x:c>
      <x:c r="F1" s="85" t="str">
        <x:v>Global SEO Conference Outreach Radar — 非美国场次</x:v>
      </x:c>
      <x:c r="G1" s="85" t="str">
        <x:v>Global SEO Conference Outreach Radar — 非美国场次</x:v>
      </x:c>
      <x:c r="H1" s="85" t="str">
        <x:v>Global SEO Conference Outreach Radar — 非美国场次</x:v>
      </x:c>
      <x:c r="I1" s="85" t="str">
        <x:v>Global SEO Conference Outreach Radar — 非美国场次</x:v>
      </x:c>
      <x:c r="J1" s="85" t="str">
        <x:v>Global SEO Conference Outreach Radar — 非美国场次</x:v>
      </x:c>
      <x:c r="K1" s="85" t="str">
        <x:v>Global SEO Conference Outreach Radar — 非美国场次</x:v>
      </x:c>
      <x:c r="L1" s="85" t="str">
        <x:v>Global SEO Conference Outreach Radar — 非美国场次</x:v>
      </x:c>
      <x:c r="M1" s="85" t="str">
        <x:v>Global SEO Conference Outreach Radar — 非美国场次</x:v>
      </x:c>
      <x:c r="N1" s="85" t="str">
        <x:v>Global SEO Conference Outreach Radar — 非美国场次</x:v>
      </x:c>
      <x:c r="O1" s="85" t="str">
        <x:v>Global SEO Conference Outreach Radar — 非美国场次</x:v>
      </x:c>
      <x:c r="P1" s="85" t="str">
        <x:v>Global SEO Conference Outreach Radar — 非美国场次</x:v>
      </x:c>
    </x:row>
    <x:row r="2" ht="30" customHeight="1">
      <x:c r="A2" s="85" t="str">
        <x:v>Global SEO Conference Outreach Radar — 非美国场次</x:v>
      </x:c>
      <x:c r="B2" s="85" t="str">
        <x:v>Global SEO Conference Outreach Radar — 非美国场次</x:v>
      </x:c>
      <x:c r="C2" s="85" t="str">
        <x:v>Global SEO Conference Outreach Radar — 非美国场次</x:v>
      </x:c>
      <x:c r="D2" s="85" t="str">
        <x:v>Global SEO Conference Outreach Radar — 非美国场次</x:v>
      </x:c>
      <x:c r="E2" s="85" t="str">
        <x:v>Global SEO Conference Outreach Radar — 非美国场次</x:v>
      </x:c>
      <x:c r="F2" s="85" t="str">
        <x:v>Global SEO Conference Outreach Radar — 非美国场次</x:v>
      </x:c>
      <x:c r="G2" s="85" t="str">
        <x:v>Global SEO Conference Outreach Radar — 非美国场次</x:v>
      </x:c>
      <x:c r="H2" s="85" t="str">
        <x:v>Global SEO Conference Outreach Radar — 非美国场次</x:v>
      </x:c>
      <x:c r="I2" s="85" t="str">
        <x:v>Global SEO Conference Outreach Radar — 非美国场次</x:v>
      </x:c>
      <x:c r="J2" s="85" t="str">
        <x:v>Global SEO Conference Outreach Radar — 非美国场次</x:v>
      </x:c>
      <x:c r="K2" s="85" t="str">
        <x:v>Global SEO Conference Outreach Radar — 非美国场次</x:v>
      </x:c>
      <x:c r="L2" s="85" t="str">
        <x:v>Global SEO Conference Outreach Radar — 非美国场次</x:v>
      </x:c>
      <x:c r="M2" s="85" t="str">
        <x:v>Global SEO Conference Outreach Radar — 非美国场次</x:v>
      </x:c>
      <x:c r="N2" s="85" t="str">
        <x:v>Global SEO Conference Outreach Radar — 非美国场次</x:v>
      </x:c>
      <x:c r="O2" s="85" t="str">
        <x:v>Global SEO Conference Outreach Radar — 非美国场次</x:v>
      </x:c>
      <x:c r="P2" s="85" t="str">
        <x:v>Global SEO Conference Outreach Radar — 非美国场次</x:v>
      </x:c>
    </x:row>
    <x:row r="3" ht="22" customHeight="1">
      <x:c r="A3" s="65" t="str">
        <x:v>截至 2026-09-02｜仅收录仍活跃、可从官方渠道联系的会议。A = 现在就联系；B = 重点培育；名单按近期场次与下一届窗口排列。</x:v>
      </x:c>
      <x:c r="B3" s="65" t="str">
        <x:v>截至 2026-09-02｜仅收录仍活跃、可从官方渠道联系的会议。A = 现在就联系；B = 重点培育；名单按近期场次与下一届窗口排列。</x:v>
      </x:c>
      <x:c r="C3" s="65" t="str">
        <x:v>截至 2026-09-02｜仅收录仍活跃、可从官方渠道联系的会议。A = 现在就联系；B = 重点培育；名单按近期场次与下一届窗口排列。</x:v>
      </x:c>
      <x:c r="D3" s="65" t="str">
        <x:v>截至 2026-09-02｜仅收录仍活跃、可从官方渠道联系的会议。A = 现在就联系；B = 重点培育；名单按近期场次与下一届窗口排列。</x:v>
      </x:c>
      <x:c r="E3" s="65" t="str">
        <x:v>截至 2026-09-02｜仅收录仍活跃、可从官方渠道联系的会议。A = 现在就联系；B = 重点培育；名单按近期场次与下一届窗口排列。</x:v>
      </x:c>
      <x:c r="F3" s="65" t="str">
        <x:v>截至 2026-09-02｜仅收录仍活跃、可从官方渠道联系的会议。A = 现在就联系；B = 重点培育；名单按近期场次与下一届窗口排列。</x:v>
      </x:c>
      <x:c r="G3" s="65" t="str">
        <x:v>截至 2026-09-02｜仅收录仍活跃、可从官方渠道联系的会议。A = 现在就联系；B = 重点培育；名单按近期场次与下一届窗口排列。</x:v>
      </x:c>
      <x:c r="H3" s="65" t="str">
        <x:v>截至 2026-09-02｜仅收录仍活跃、可从官方渠道联系的会议。A = 现在就联系；B = 重点培育；名单按近期场次与下一届窗口排列。</x:v>
      </x:c>
      <x:c r="I3" s="65" t="str">
        <x:v>截至 2026-09-02｜仅收录仍活跃、可从官方渠道联系的会议。A = 现在就联系；B = 重点培育；名单按近期场次与下一届窗口排列。</x:v>
      </x:c>
      <x:c r="J3" s="65" t="str">
        <x:v>截至 2026-09-02｜仅收录仍活跃、可从官方渠道联系的会议。A = 现在就联系；B = 重点培育；名单按近期场次与下一届窗口排列。</x:v>
      </x:c>
      <x:c r="K3" s="65" t="str">
        <x:v>截至 2026-09-02｜仅收录仍活跃、可从官方渠道联系的会议。A = 现在就联系；B = 重点培育；名单按近期场次与下一届窗口排列。</x:v>
      </x:c>
      <x:c r="L3" s="65" t="str">
        <x:v>截至 2026-09-02｜仅收录仍活跃、可从官方渠道联系的会议。A = 现在就联系；B = 重点培育；名单按近期场次与下一届窗口排列。</x:v>
      </x:c>
      <x:c r="M3" s="65" t="str">
        <x:v>截至 2026-09-02｜仅收录仍活跃、可从官方渠道联系的会议。A = 现在就联系；B = 重点培育；名单按近期场次与下一届窗口排列。</x:v>
      </x:c>
      <x:c r="N3" s="65" t="str">
        <x:v>截至 2026-09-02｜仅收录仍活跃、可从官方渠道联系的会议。A = 现在就联系；B = 重点培育；名单按近期场次与下一届窗口排列。</x:v>
      </x:c>
      <x:c r="O3" s="65" t="str">
        <x:v>截至 2026-09-02｜仅收录仍活跃、可从官方渠道联系的会议。A = 现在就联系；B = 重点培育；名单按近期场次与下一届窗口排列。</x:v>
      </x:c>
      <x:c r="P3" s="65" t="str">
        <x:v>截至 2026-09-02｜仅收录仍活跃、可从官方渠道联系的会议。A = 现在就联系；B = 重点培育；名单按近期场次与下一届窗口排列。</x:v>
      </x:c>
    </x:row>
    <x:row r="4" ht="22" customHeight="1">
      <x:c r="A4" s="65" t="str">
        <x:v>截至 2026-09-02｜仅收录仍活跃、可从官方渠道联系的会议。A = 现在就联系；B = 重点培育；名单按近期场次与下一届窗口排列。</x:v>
      </x:c>
      <x:c r="B4" s="65" t="str">
        <x:v>截至 2026-09-02｜仅收录仍活跃、可从官方渠道联系的会议。A = 现在就联系；B = 重点培育；名单按近期场次与下一届窗口排列。</x:v>
      </x:c>
      <x:c r="C4" s="65" t="str">
        <x:v>截至 2026-09-02｜仅收录仍活跃、可从官方渠道联系的会议。A = 现在就联系；B = 重点培育；名单按近期场次与下一届窗口排列。</x:v>
      </x:c>
      <x:c r="D4" s="65" t="str">
        <x:v>截至 2026-09-02｜仅收录仍活跃、可从官方渠道联系的会议。A = 现在就联系；B = 重点培育；名单按近期场次与下一届窗口排列。</x:v>
      </x:c>
      <x:c r="E4" s="65" t="str">
        <x:v>截至 2026-09-02｜仅收录仍活跃、可从官方渠道联系的会议。A = 现在就联系；B = 重点培育；名单按近期场次与下一届窗口排列。</x:v>
      </x:c>
      <x:c r="F4" s="65" t="str">
        <x:v>截至 2026-09-02｜仅收录仍活跃、可从官方渠道联系的会议。A = 现在就联系；B = 重点培育；名单按近期场次与下一届窗口排列。</x:v>
      </x:c>
      <x:c r="G4" s="65" t="str">
        <x:v>截至 2026-09-02｜仅收录仍活跃、可从官方渠道联系的会议。A = 现在就联系；B = 重点培育；名单按近期场次与下一届窗口排列。</x:v>
      </x:c>
      <x:c r="H4" s="65" t="str">
        <x:v>截至 2026-09-02｜仅收录仍活跃、可从官方渠道联系的会议。A = 现在就联系；B = 重点培育；名单按近期场次与下一届窗口排列。</x:v>
      </x:c>
      <x:c r="I4" s="65" t="str">
        <x:v>截至 2026-09-02｜仅收录仍活跃、可从官方渠道联系的会议。A = 现在就联系；B = 重点培育；名单按近期场次与下一届窗口排列。</x:v>
      </x:c>
      <x:c r="J4" s="65" t="str">
        <x:v>截至 2026-09-02｜仅收录仍活跃、可从官方渠道联系的会议。A = 现在就联系；B = 重点培育；名单按近期场次与下一届窗口排列。</x:v>
      </x:c>
      <x:c r="K4" s="65" t="str">
        <x:v>截至 2026-09-02｜仅收录仍活跃、可从官方渠道联系的会议。A = 现在就联系；B = 重点培育；名单按近期场次与下一届窗口排列。</x:v>
      </x:c>
      <x:c r="L4" s="65" t="str">
        <x:v>截至 2026-09-02｜仅收录仍活跃、可从官方渠道联系的会议。A = 现在就联系；B = 重点培育；名单按近期场次与下一届窗口排列。</x:v>
      </x:c>
      <x:c r="M4" s="65" t="str">
        <x:v>截至 2026-09-02｜仅收录仍活跃、可从官方渠道联系的会议。A = 现在就联系；B = 重点培育；名单按近期场次与下一届窗口排列。</x:v>
      </x:c>
      <x:c r="N4" s="65" t="str">
        <x:v>截至 2026-09-02｜仅收录仍活跃、可从官方渠道联系的会议。A = 现在就联系；B = 重点培育；名单按近期场次与下一届窗口排列。</x:v>
      </x:c>
      <x:c r="O4" s="65" t="str">
        <x:v>截至 2026-09-02｜仅收录仍活跃、可从官方渠道联系的会议。A = 现在就联系；B = 重点培育；名单按近期场次与下一届窗口排列。</x:v>
      </x:c>
      <x:c r="P4" s="65" t="str">
        <x:v>截至 2026-09-02｜仅收录仍活跃、可从官方渠道联系的会议。A = 现在就联系；B = 重点培育；名单按近期场次与下一届窗口排列。</x:v>
      </x:c>
    </x:row>
    <x:row r="5">
      <x:c r="A5" s="66"/>
      <x:c r="B5" s="66"/>
      <x:c r="C5" s="66"/>
      <x:c r="D5" s="66"/>
      <x:c r="E5" s="66"/>
      <x:c r="F5" s="66"/>
      <x:c r="G5" s="66"/>
      <x:c r="H5" s="66"/>
      <x:c r="I5" s="66"/>
      <x:c r="J5" s="66"/>
      <x:c r="K5" s="66"/>
      <x:c r="L5" s="66"/>
      <x:c r="M5" s="66"/>
      <x:c r="N5" s="66"/>
      <x:c r="O5" s="66"/>
      <x:c r="P5" s="66"/>
    </x:row>
    <x:row r="6" ht="24" customHeight="1">
      <x:c r="A6" s="67" t="str">
        <x:v>A-立即联系</x:v>
      </x:c>
      <x:c r="B6" s="67" t="str">
        <x:v>A-立即联系</x:v>
      </x:c>
      <x:c r="C6" s="67" t="str">
        <x:v>A-立即联系</x:v>
      </x:c>
      <x:c r="D6" s="67" t="str">
        <x:v>A-立即联系</x:v>
      </x:c>
      <x:c r="E6" s="68" t="str">
        <x:v>B-重点培育</x:v>
      </x:c>
      <x:c r="F6" s="68" t="str">
        <x:v>B-重点培育</x:v>
      </x:c>
      <x:c r="G6" s="68" t="str">
        <x:v>B-重点培育</x:v>
      </x:c>
      <x:c r="H6" s="68" t="str">
        <x:v>B-重点培育</x:v>
      </x:c>
      <x:c r="I6" s="69" t="str">
        <x:v>全部会议</x:v>
      </x:c>
      <x:c r="J6" s="69" t="str">
        <x:v>全部会议</x:v>
      </x:c>
      <x:c r="K6" s="69" t="str">
        <x:v>全部会议</x:v>
      </x:c>
      <x:c r="L6" s="69" t="str">
        <x:v>全部会议</x:v>
      </x:c>
      <x:c r="M6" s="70" t="str">
        <x:v>尚未联系</x:v>
      </x:c>
      <x:c r="N6" s="70" t="str">
        <x:v>尚未联系</x:v>
      </x:c>
      <x:c r="O6" s="70" t="str">
        <x:v>尚未联系</x:v>
      </x:c>
      <x:c r="P6" s="70" t="str">
        <x:v>尚未联系</x:v>
      </x:c>
    </x:row>
    <x:row r="7" ht="24" customHeight="1">
      <x:c r="A7" s="71" t="n">
        <x:f>COUNTIF('Conference Tracker'!$A$6:$A$38,"A-立即联系")</x:f>
        <x:v>16</x:v>
      </x:c>
      <x:c r="B7" s="71"/>
      <x:c r="C7" s="71"/>
      <x:c r="D7" s="71"/>
      <x:c r="E7" s="72" t="n">
        <x:f>COUNTIF('Conference Tracker'!$A$6:$A$38,"B-重点培育")</x:f>
        <x:v>17</x:v>
      </x:c>
      <x:c r="F7" s="72"/>
      <x:c r="G7" s="72"/>
      <x:c r="H7" s="72"/>
      <x:c r="I7" s="73" t="n">
        <x:f>COUNTA('Conference Tracker'!$B$6:$B$38)</x:f>
        <x:v>33</x:v>
      </x:c>
      <x:c r="J7" s="73"/>
      <x:c r="K7" s="73"/>
      <x:c r="L7" s="73"/>
      <x:c r="M7" s="74" t="n">
        <x:f>COUNTIF('Conference Tracker'!$N$6:$N$38,"未联系")</x:f>
        <x:v>32</x:v>
      </x:c>
      <x:c r="N7" s="74"/>
      <x:c r="O7" s="74"/>
      <x:c r="P7" s="74"/>
    </x:row>
    <x:row r="8" ht="24" customHeight="1">
      <x:c r="A8" s="71"/>
      <x:c r="B8" s="71"/>
      <x:c r="C8" s="71"/>
      <x:c r="D8" s="71"/>
      <x:c r="E8" s="72"/>
      <x:c r="F8" s="72"/>
      <x:c r="G8" s="72"/>
      <x:c r="H8" s="72"/>
      <x:c r="I8" s="73"/>
      <x:c r="J8" s="73"/>
      <x:c r="K8" s="73"/>
      <x:c r="L8" s="73"/>
      <x:c r="M8" s="74"/>
      <x:c r="N8" s="74"/>
      <x:c r="O8" s="74"/>
      <x:c r="P8" s="74"/>
    </x:row>
    <x:row r="9">
      <x:c r="A9" s="66"/>
      <x:c r="B9" s="66"/>
      <x:c r="C9" s="66"/>
      <x:c r="D9" s="66"/>
      <x:c r="E9" s="66"/>
      <x:c r="F9" s="66"/>
      <x:c r="G9" s="66"/>
      <x:c r="H9" s="66"/>
      <x:c r="I9" s="66"/>
      <x:c r="J9" s="66"/>
      <x:c r="K9" s="66"/>
      <x:c r="L9" s="66"/>
      <x:c r="M9" s="66"/>
      <x:c r="N9" s="66"/>
      <x:c r="O9" s="66"/>
      <x:c r="P9" s="66"/>
    </x:row>
    <x:row r="10">
      <x:c r="A10" s="75" t="str">
        <x:v>优先顺序：临近 2026 场次先抢剩余权益；2027 已公布场次提前谈独家类别；日期待定的系列活动进入季度 nurture。</x:v>
      </x:c>
      <x:c r="B10" s="75" t="str">
        <x:v>优先顺序：临近 2026 场次先抢剩余权益；2027 已公布场次提前谈独家类别；日期待定的系列活动进入季度 nurture。</x:v>
      </x:c>
      <x:c r="C10" s="75" t="str">
        <x:v>优先顺序：临近 2026 场次先抢剩余权益；2027 已公布场次提前谈独家类别；日期待定的系列活动进入季度 nurture。</x:v>
      </x:c>
      <x:c r="D10" s="75" t="str">
        <x:v>优先顺序：临近 2026 场次先抢剩余权益；2027 已公布场次提前谈独家类别；日期待定的系列活动进入季度 nurture。</x:v>
      </x:c>
      <x:c r="E10" s="75" t="str">
        <x:v>优先顺序：临近 2026 场次先抢剩余权益；2027 已公布场次提前谈独家类别；日期待定的系列活动进入季度 nurture。</x:v>
      </x:c>
      <x:c r="F10" s="75" t="str">
        <x:v>优先顺序：临近 2026 场次先抢剩余权益；2027 已公布场次提前谈独家类别；日期待定的系列活动进入季度 nurture。</x:v>
      </x:c>
      <x:c r="G10" s="75" t="str">
        <x:v>优先顺序：临近 2026 场次先抢剩余权益；2027 已公布场次提前谈独家类别；日期待定的系列活动进入季度 nurture。</x:v>
      </x:c>
      <x:c r="H10" s="75" t="str">
        <x:v>优先顺序：临近 2026 场次先抢剩余权益；2027 已公布场次提前谈独家类别；日期待定的系列活动进入季度 nurture。</x:v>
      </x:c>
      <x:c r="I10" s="76" t="str">
        <x:v>建议先用“小而具体”的合作概念开场：联合数据报告、实操 Workshop、VIP 圆桌、社区奖学金或本地化案例，比泛泛问价更容易获得回复。</x:v>
      </x:c>
      <x:c r="J10" s="76" t="str">
        <x:v>建议先用“小而具体”的合作概念开场：联合数据报告、实操 Workshop、VIP 圆桌、社区奖学金或本地化案例，比泛泛问价更容易获得回复。</x:v>
      </x:c>
      <x:c r="K10" s="76" t="str">
        <x:v>建议先用“小而具体”的合作概念开场：联合数据报告、实操 Workshop、VIP 圆桌、社区奖学金或本地化案例，比泛泛问价更容易获得回复。</x:v>
      </x:c>
      <x:c r="L10" s="76" t="str">
        <x:v>建议先用“小而具体”的合作概念开场：联合数据报告、实操 Workshop、VIP 圆桌、社区奖学金或本地化案例，比泛泛问价更容易获得回复。</x:v>
      </x:c>
      <x:c r="M10" s="76" t="str">
        <x:v>建议先用“小而具体”的合作概念开场：联合数据报告、实操 Workshop、VIP 圆桌、社区奖学金或本地化案例，比泛泛问价更容易获得回复。</x:v>
      </x:c>
      <x:c r="N10" s="76" t="str">
        <x:v>建议先用“小而具体”的合作概念开场：联合数据报告、实操 Workshop、VIP 圆桌、社区奖学金或本地化案例，比泛泛问价更容易获得回复。</x:v>
      </x:c>
      <x:c r="O10" s="76" t="str">
        <x:v>建议先用“小而具体”的合作概念开场：联合数据报告、实操 Workshop、VIP 圆桌、社区奖学金或本地化案例，比泛泛问价更容易获得回复。</x:v>
      </x:c>
      <x:c r="P10" s="76" t="str">
        <x:v>建议先用“小而具体”的合作概念开场：联合数据报告、实操 Workshop、VIP 圆桌、社区奖学金或本地化案例，比泛泛问价更容易获得回复。</x:v>
      </x:c>
    </x:row>
    <x:row r="11">
      <x:c r="A11" s="75" t="str">
        <x:v>优先顺序：临近 2026 场次先抢剩余权益；2027 已公布场次提前谈独家类别；日期待定的系列活动进入季度 nurture。</x:v>
      </x:c>
      <x:c r="B11" s="75" t="str">
        <x:v>优先顺序：临近 2026 场次先抢剩余权益；2027 已公布场次提前谈独家类别；日期待定的系列活动进入季度 nurture。</x:v>
      </x:c>
      <x:c r="C11" s="75" t="str">
        <x:v>优先顺序：临近 2026 场次先抢剩余权益；2027 已公布场次提前谈独家类别；日期待定的系列活动进入季度 nurture。</x:v>
      </x:c>
      <x:c r="D11" s="75" t="str">
        <x:v>优先顺序：临近 2026 场次先抢剩余权益；2027 已公布场次提前谈独家类别；日期待定的系列活动进入季度 nurture。</x:v>
      </x:c>
      <x:c r="E11" s="75" t="str">
        <x:v>优先顺序：临近 2026 场次先抢剩余权益；2027 已公布场次提前谈独家类别；日期待定的系列活动进入季度 nurture。</x:v>
      </x:c>
      <x:c r="F11" s="75" t="str">
        <x:v>优先顺序：临近 2026 场次先抢剩余权益；2027 已公布场次提前谈独家类别；日期待定的系列活动进入季度 nurture。</x:v>
      </x:c>
      <x:c r="G11" s="75" t="str">
        <x:v>优先顺序：临近 2026 场次先抢剩余权益；2027 已公布场次提前谈独家类别；日期待定的系列活动进入季度 nurture。</x:v>
      </x:c>
      <x:c r="H11" s="75" t="str">
        <x:v>优先顺序：临近 2026 场次先抢剩余权益；2027 已公布场次提前谈独家类别；日期待定的系列活动进入季度 nurture。</x:v>
      </x:c>
      <x:c r="I11" s="76" t="str">
        <x:v>建议先用“小而具体”的合作概念开场：联合数据报告、实操 Workshop、VIP 圆桌、社区奖学金或本地化案例，比泛泛问价更容易获得回复。</x:v>
      </x:c>
      <x:c r="J11" s="76" t="str">
        <x:v>建议先用“小而具体”的合作概念开场：联合数据报告、实操 Workshop、VIP 圆桌、社区奖学金或本地化案例，比泛泛问价更容易获得回复。</x:v>
      </x:c>
      <x:c r="K11" s="76" t="str">
        <x:v>建议先用“小而具体”的合作概念开场：联合数据报告、实操 Workshop、VIP 圆桌、社区奖学金或本地化案例，比泛泛问价更容易获得回复。</x:v>
      </x:c>
      <x:c r="L11" s="76" t="str">
        <x:v>建议先用“小而具体”的合作概念开场：联合数据报告、实操 Workshop、VIP 圆桌、社区奖学金或本地化案例，比泛泛问价更容易获得回复。</x:v>
      </x:c>
      <x:c r="M11" s="76" t="str">
        <x:v>建议先用“小而具体”的合作概念开场：联合数据报告、实操 Workshop、VIP 圆桌、社区奖学金或本地化案例，比泛泛问价更容易获得回复。</x:v>
      </x:c>
      <x:c r="N11" s="76" t="str">
        <x:v>建议先用“小而具体”的合作概念开场：联合数据报告、实操 Workshop、VIP 圆桌、社区奖学金或本地化案例，比泛泛问价更容易获得回复。</x:v>
      </x:c>
      <x:c r="O11" s="76" t="str">
        <x:v>建议先用“小而具体”的合作概念开场：联合数据报告、实操 Workshop、VIP 圆桌、社区奖学金或本地化案例，比泛泛问价更容易获得回复。</x:v>
      </x:c>
      <x:c r="P11" s="76" t="str">
        <x:v>建议先用“小而具体”的合作概念开场：联合数据报告、实操 Workshop、VIP 圆桌、社区奖学金或本地化案例，比泛泛问价更容易获得回复。</x:v>
      </x:c>
    </x:row>
    <x:row r="12">
      <x:c r="A12" s="66"/>
      <x:c r="B12" s="66"/>
      <x:c r="C12" s="66"/>
      <x:c r="D12" s="66"/>
      <x:c r="E12" s="66"/>
      <x:c r="F12" s="66"/>
      <x:c r="G12" s="66"/>
      <x:c r="H12" s="66"/>
      <x:c r="I12" s="66"/>
      <x:c r="J12" s="66"/>
      <x:c r="K12" s="66"/>
      <x:c r="L12" s="66"/>
      <x:c r="M12" s="66"/>
      <x:c r="N12" s="66"/>
      <x:c r="O12" s="66"/>
      <x:c r="P12" s="66"/>
    </x:row>
    <x:row r="13">
      <x:c r="A13" s="77" t="str">
        <x:v>首轮外联 Shortlist</x:v>
      </x:c>
      <x:c r="B13" s="77" t="str">
        <x:v>首轮外联 Shortlist</x:v>
      </x:c>
      <x:c r="C13" s="77" t="str">
        <x:v>首轮外联 Shortlist</x:v>
      </x:c>
      <x:c r="D13" s="77" t="str">
        <x:v>首轮外联 Shortlist</x:v>
      </x:c>
      <x:c r="E13" s="77" t="str">
        <x:v>首轮外联 Shortlist</x:v>
      </x:c>
      <x:c r="F13" s="77" t="str">
        <x:v>首轮外联 Shortlist</x:v>
      </x:c>
      <x:c r="G13" s="77" t="str">
        <x:v>首轮外联 Shortlist</x:v>
      </x:c>
      <x:c r="H13" s="77" t="str">
        <x:v>首轮外联 Shortlist</x:v>
      </x:c>
      <x:c r="I13" s="66"/>
      <x:c r="J13" s="78" t="str">
        <x:v>区域</x:v>
      </x:c>
      <x:c r="K13" s="78" t="str">
        <x:v>会议数</x:v>
      </x:c>
      <x:c r="L13" s="66"/>
      <x:c r="M13" s="66"/>
      <x:c r="N13" s="66"/>
      <x:c r="O13" s="66"/>
      <x:c r="P13" s="66"/>
    </x:row>
    <x:row r="14">
      <x:c r="A14" s="79" t="str">
        <x:v>优先级</x:v>
      </x:c>
      <x:c r="B14" s="79" t="str">
        <x:v>会议</x:v>
      </x:c>
      <x:c r="C14" s="79" t="str">
        <x:v>地点 / 日期</x:v>
      </x:c>
      <x:c r="D14" s="79" t="str">
        <x:v>最佳入口</x:v>
      </x:c>
      <x:c r="E14" s="79" t="str">
        <x:v>首封切入</x:v>
      </x:c>
      <x:c r="F14" s="79" t="str">
        <x:v>建议时点</x:v>
      </x:c>
      <x:c r="G14" s="79" t="str">
        <x:v>状态</x:v>
      </x:c>
      <x:c r="H14" s="79" t="str">
        <x:v>备注</x:v>
      </x:c>
      <x:c r="I14" s="66"/>
      <x:c r="J14" s="80" t="str">
        <x:v>欧洲</x:v>
      </x:c>
      <x:c r="K14" s="80" t="n">
        <x:f>COUNTIF('Conference Tracker'!$C$6:$C$38,"欧洲")+COUNTIF('Conference Tracker'!$C$6:$C$38,"欧洲/中东")</x:f>
        <x:v>19</x:v>
      </x:c>
      <x:c r="L14" s="66"/>
      <x:c r="M14" s="66"/>
      <x:c r="N14" s="66"/>
      <x:c r="O14" s="66"/>
      <x:c r="P14" s="66"/>
    </x:row>
    <x:row r="15" ht="38" customHeight="1">
      <x:c r="A15" s="81" t="str">
        <x:v>A</x:v>
      </x:c>
      <x:c r="B15" s="82" t="str">
        <x:v>Shenzhen SEO Conference</x:v>
      </x:c>
      <x:c r="C15" s="82" t="str">
        <x:v>深圳｜2026-09-14—18</x:v>
      </x:c>
      <x:c r="D15" s="82" t="str">
        <x:v>Sponsor 表 + 微信</x:v>
      </x:c>
      <x:c r="E15" s="82" t="str">
        <x:v>剩余套餐 / 2027 优先权</x:v>
      </x:c>
      <x:c r="F15" s="82" t="str">
        <x:v>今天</x:v>
      </x:c>
      <x:c r="G15" s="82" t="str">
        <x:v>未联系</x:v>
      </x:c>
      <x:c r="H15" s="82" t="str">
        <x:v>中国本地，响应链路短</x:v>
      </x:c>
      <x:c r="I15" s="66"/>
      <x:c r="J15" s="80" t="str">
        <x:v>亚太</x:v>
      </x:c>
      <x:c r="K15" s="80" t="n">
        <x:f>COUNTIF('Conference Tracker'!$C$6:$C$38,"亚太")</x:f>
        <x:v>10</x:v>
      </x:c>
      <x:c r="L15" s="66"/>
      <x:c r="M15" s="66"/>
      <x:c r="N15" s="66"/>
      <x:c r="O15" s="66"/>
      <x:c r="P15" s="66"/>
    </x:row>
    <x:row r="16" ht="38" customHeight="1">
      <x:c r="A16" s="81" t="str">
        <x:v>A</x:v>
      </x:c>
      <x:c r="B16" s="82" t="str">
        <x:v>SMX Advanced Europe</x:v>
      </x:c>
      <x:c r="C16" s="82" t="str">
        <x:v>柏林｜2026-09-29—10-01</x:v>
      </x:c>
      <x:c r="D16" s="82" t="str">
        <x:v>Sandra / exhibit@risingmedia.com</x:v>
      </x:c>
      <x:c r="E16" s="82" t="str">
        <x:v>定制圆桌或演示</x:v>
      </x:c>
      <x:c r="F16" s="82" t="str">
        <x:v>24 小时内</x:v>
      </x:c>
      <x:c r="G16" s="82" t="str">
        <x:v>未联系</x:v>
      </x:c>
      <x:c r="H16" s="82" t="str">
        <x:v>先电话确认库存</x:v>
      </x:c>
      <x:c r="I16" s="66"/>
      <x:c r="J16" s="80" t="str">
        <x:v>北美（非美国）</x:v>
      </x:c>
      <x:c r="K16" s="80" t="n">
        <x:f>COUNTIF('Conference Tracker'!$C$6:$C$38,"北美（非美国）")</x:f>
        <x:v>1</x:v>
      </x:c>
      <x:c r="L16" s="66"/>
      <x:c r="M16" s="66"/>
      <x:c r="N16" s="66"/>
      <x:c r="O16" s="66"/>
      <x:c r="P16" s="66"/>
    </x:row>
    <x:row r="17" ht="38" customHeight="1">
      <x:c r="A17" s="81" t="str">
        <x:v>A</x:v>
      </x:c>
      <x:c r="B17" s="82" t="str">
        <x:v>brightonSEO UK</x:v>
      </x:c>
      <x:c r="C17" s="82" t="str">
        <x:v>Brighton｜2026-10-08—09</x:v>
      </x:c>
      <x:c r="D17" s="82" t="str">
        <x:v>dre@roughagenda.com</x:v>
      </x:c>
      <x:c r="E17" s="82" t="str">
        <x:v>UK sponsor pack</x:v>
      </x:c>
      <x:c r="F17" s="82" t="str">
        <x:v>本周</x:v>
      </x:c>
      <x:c r="G17" s="82" t="str">
        <x:v>未联系</x:v>
      </x:c>
      <x:c r="H17" s="82" t="str">
        <x:v>规模最大之一</x:v>
      </x:c>
      <x:c r="I17" s="66"/>
      <x:c r="J17" s="80" t="str">
        <x:v>中东</x:v>
      </x:c>
      <x:c r="K17" s="80" t="n">
        <x:f>COUNTIF('Conference Tracker'!$C$6:$C$38,"中东")+COUNTIF('Conference Tracker'!$C$6:$C$38,"欧洲/中东")</x:f>
        <x:v>2</x:v>
      </x:c>
      <x:c r="L17" s="66"/>
      <x:c r="M17" s="66"/>
      <x:c r="N17" s="66"/>
      <x:c r="O17" s="66"/>
      <x:c r="P17" s="66"/>
    </x:row>
    <x:row r="18" ht="38" customHeight="1">
      <x:c r="A18" s="81" t="str">
        <x:v>A</x:v>
      </x:c>
      <x:c r="B18" s="82" t="str">
        <x:v>Semrush Spotlight</x:v>
      </x:c>
      <x:c r="C18" s="82" t="str">
        <x:v>伦敦｜2026-10-13</x:v>
      </x:c>
      <x:c r="D18" s="82" t="str">
        <x:v>Sponsor Typeform</x:v>
      </x:c>
      <x:c r="E18" s="82" t="str">
        <x:v>高层圆桌 / 联合研究</x:v>
      </x:c>
      <x:c r="F18" s="82" t="str">
        <x:v>本周</x:v>
      </x:c>
      <x:c r="G18" s="82" t="str">
        <x:v>未联系</x:v>
      </x:c>
      <x:c r="H18" s="82" t="str">
        <x:v>资深营销人密度高</x:v>
      </x:c>
      <x:c r="I18" s="66"/>
      <x:c r="J18" s="80" t="str">
        <x:v>非洲</x:v>
      </x:c>
      <x:c r="K18" s="80" t="n">
        <x:f>COUNTIF('Conference Tracker'!$C$6:$C$38,"非洲")</x:f>
        <x:v>1</x:v>
      </x:c>
      <x:c r="L18" s="66"/>
      <x:c r="M18" s="66"/>
      <x:c r="N18" s="66"/>
      <x:c r="O18" s="66"/>
      <x:c r="P18" s="66"/>
    </x:row>
    <x:row r="19" ht="38" customHeight="1">
      <x:c r="A19" s="81" t="str">
        <x:v>A</x:v>
      </x:c>
      <x:c r="B19" s="82" t="str">
        <x:v>Chiang Mai SEO</x:v>
      </x:c>
      <x:c r="C19" s="82" t="str">
        <x:v>清迈｜2026-11-09—13</x:v>
      </x:c>
      <x:c r="D19" s="82" t="str">
        <x:v>contact@chiangmaiseoconference.com</x:v>
      </x:c>
      <x:c r="E19" s="82" t="str">
        <x:v>VIP / Founder activation</x:v>
      </x:c>
      <x:c r="F19" s="82" t="str">
        <x:v>本周</x:v>
      </x:c>
      <x:c r="G19" s="82" t="str">
        <x:v>未联系</x:v>
      </x:c>
      <x:c r="H19" s="82" t="str">
        <x:v>创始人/决策者多</x:v>
      </x:c>
      <x:c r="I19" s="66"/>
      <x:c r="J19" s="80" t="str">
        <x:v>拉美</x:v>
      </x:c>
      <x:c r="K19" s="80" t="n">
        <x:f>COUNTIF('Conference Tracker'!$C$6:$C$38,"拉美")</x:f>
        <x:v>1</x:v>
      </x:c>
      <x:c r="L19" s="66"/>
      <x:c r="M19" s="66"/>
      <x:c r="N19" s="66"/>
      <x:c r="O19" s="66"/>
      <x:c r="P19" s="66"/>
    </x:row>
    <x:row r="20" ht="38" customHeight="1">
      <x:c r="A20" s="81" t="str">
        <x:v>A</x:v>
      </x:c>
      <x:c r="B20" s="82" t="str">
        <x:v>MozCon London</x:v>
      </x:c>
      <x:c r="C20" s="82" t="str">
        <x:v>伦敦｜2026-11-13</x:v>
      </x:c>
      <x:c r="D20" s="82" t="str">
        <x:v>MozCon 官网入口</x:v>
      </x:c>
      <x:c r="E20" s="82" t="str">
        <x:v>内容 / 社区合作</x:v>
      </x:c>
      <x:c r="F20" s="82" t="str">
        <x:v>7 天内</x:v>
      </x:c>
      <x:c r="G20" s="82" t="str">
        <x:v>未联系</x:v>
      </x:c>
      <x:c r="H20" s="82" t="str">
        <x:v>先确认开放合作类型</x:v>
      </x:c>
      <x:c r="I20" s="66"/>
      <x:c r="J20" s="66"/>
      <x:c r="K20" s="66"/>
      <x:c r="L20" s="66"/>
      <x:c r="M20" s="66"/>
      <x:c r="N20" s="66"/>
      <x:c r="O20" s="66"/>
      <x:c r="P20" s="66"/>
    </x:row>
    <x:row r="21" ht="38" customHeight="1">
      <x:c r="A21" s="81" t="str">
        <x:v>A</x:v>
      </x:c>
      <x:c r="B21" s="82" t="str">
        <x:v>FOUND Tokyo</x:v>
      </x:c>
      <x:c r="C21" s="82" t="str">
        <x:v>东京｜2027-02-18—19</x:v>
      </x:c>
      <x:c r="D21" s="82" t="str">
        <x:v>support-jp@demandsphere.com</x:v>
      </x:c>
      <x:c r="E21" s="82" t="str">
        <x:v>日英双语社区伙伴</x:v>
      </x:c>
      <x:c r="F21" s="82" t="str">
        <x:v>本月</x:v>
      </x:c>
      <x:c r="G21" s="82" t="str">
        <x:v>未联系</x:v>
      </x:c>
      <x:c r="H21" s="82" t="str">
        <x:v>日本本地化价值高</x:v>
      </x:c>
      <x:c r="I21" s="66"/>
      <x:c r="J21" s="66"/>
      <x:c r="K21" s="66"/>
      <x:c r="L21" s="66"/>
      <x:c r="M21" s="66"/>
      <x:c r="N21" s="66"/>
      <x:c r="O21" s="66"/>
      <x:c r="P21" s="66"/>
    </x:row>
    <x:row r="22" ht="38" customHeight="1">
      <x:c r="A22" s="81" t="str">
        <x:v>A</x:v>
      </x:c>
      <x:c r="B22" s="82" t="str">
        <x:v>Search Marketing Summit</x:v>
      </x:c>
      <x:c r="C22" s="82" t="str">
        <x:v>悉尼｜2027-02-23—26</x:v>
      </x:c>
      <x:c r="D22" s="82" t="str">
        <x:v>marketing@searchmarketingsummit.com.au</x:v>
      </x:c>
      <x:c r="E22" s="82" t="str">
        <x:v>澳新案例 / Workshop</x:v>
      </x:c>
      <x:c r="F22" s="82" t="str">
        <x:v>本月</x:v>
      </x:c>
      <x:c r="G22" s="82" t="str">
        <x:v>未联系</x:v>
      </x:c>
      <x:c r="H22" s="82" t="str">
        <x:v>20 年品牌</x:v>
      </x:c>
      <x:c r="I22" s="66"/>
      <x:c r="J22" s="66"/>
      <x:c r="K22" s="66"/>
      <x:c r="L22" s="66"/>
      <x:c r="M22" s="66"/>
      <x:c r="N22" s="66"/>
      <x:c r="O22" s="66"/>
      <x:c r="P22" s="66"/>
    </x:row>
    <x:row r="23" ht="38" customHeight="1">
      <x:c r="A23" s="81" t="str">
        <x:v>A</x:v>
      </x:c>
      <x:c r="B23" s="82" t="str">
        <x:v>Sydney SEO Conference</x:v>
      </x:c>
      <x:c r="C23" s="82" t="str">
        <x:v>悉尼｜2027-03-11—12</x:v>
      </x:c>
      <x:c r="D23" s="82" t="str">
        <x:v>hello@prosperitymedia.com.au</x:v>
      </x:c>
      <x:c r="E23" s="82" t="str">
        <x:v>Mastermind / 精品赞助</x:v>
      </x:c>
      <x:c r="F23" s="82" t="str">
        <x:v>本月</x:v>
      </x:c>
      <x:c r="G23" s="82" t="str">
        <x:v>未联系</x:v>
      </x:c>
      <x:c r="H23" s="82" t="str">
        <x:v>可与澳洲行程联动</x:v>
      </x:c>
      <x:c r="I23" s="66"/>
      <x:c r="J23" s="66"/>
      <x:c r="K23" s="66"/>
      <x:c r="L23" s="66"/>
      <x:c r="M23" s="66"/>
      <x:c r="N23" s="66"/>
      <x:c r="O23" s="66"/>
      <x:c r="P23" s="66"/>
    </x:row>
    <x:row r="24" ht="38" customHeight="1">
      <x:c r="A24" s="81" t="str">
        <x:v>A</x:v>
      </x:c>
      <x:c r="B24" s="82" t="str">
        <x:v>SERP Conf Sofia</x:v>
      </x:c>
      <x:c r="C24" s="82" t="str">
        <x:v>Sofia｜2027-03-24—25</x:v>
      </x:c>
      <x:c r="D24" s="82" t="str">
        <x:v>Sponsor 表</x:v>
      </x:c>
      <x:c r="E24" s="82" t="str">
        <x:v>东欧渠道 / 案例</x:v>
      </x:c>
      <x:c r="F24" s="82" t="str">
        <x:v>30 天内</x:v>
      </x:c>
      <x:c r="G24" s="82" t="str">
        <x:v>未联系</x:v>
      </x:c>
      <x:c r="H24" s="82" t="str">
        <x:v>东欧覆盖</x:v>
      </x:c>
      <x:c r="I24" s="66"/>
      <x:c r="J24" s="66"/>
      <x:c r="K24" s="66"/>
      <x:c r="L24" s="66"/>
      <x:c r="M24" s="66"/>
      <x:c r="N24" s="66"/>
      <x:c r="O24" s="66"/>
      <x:c r="P24" s="66"/>
    </x:row>
    <x:row r="25" ht="38" customHeight="1">
      <x:c r="A25" s="81" t="str">
        <x:v>A</x:v>
      </x:c>
      <x:c r="B25" s="82" t="str">
        <x:v>Ahrefs Evolve Singapore</x:v>
      </x:c>
      <x:c r="C25" s="82" t="str">
        <x:v>新加坡｜2027-04-14—15</x:v>
      </x:c>
      <x:c r="D25" s="82" t="str">
        <x:v>events@ahrefs.com</x:v>
      </x:c>
      <x:c r="E25" s="82" t="str">
        <x:v>联合研究 / 技术内容</x:v>
      </x:c>
      <x:c r="F25" s="82" t="str">
        <x:v>本月</x:v>
      </x:c>
      <x:c r="G25" s="82" t="str">
        <x:v>未联系</x:v>
      </x:c>
      <x:c r="H25" s="82" t="str">
        <x:v>亚太国际受众</x:v>
      </x:c>
      <x:c r="I25" s="66"/>
      <x:c r="J25" s="66"/>
      <x:c r="K25" s="66"/>
      <x:c r="L25" s="66"/>
      <x:c r="M25" s="66"/>
      <x:c r="N25" s="66"/>
      <x:c r="O25" s="66"/>
      <x:c r="P25" s="66"/>
    </x:row>
    <x:row r="26" ht="38" customHeight="1">
      <x:c r="A26" s="81" t="str">
        <x:v>A</x:v>
      </x:c>
      <x:c r="B26" s="82" t="str">
        <x:v>International Search Summit</x:v>
      </x:c>
      <x:c r="C26" s="82" t="str">
        <x:v>Barcelona｜2027-05-13</x:v>
      </x:c>
      <x:c r="D26" s="82" t="str">
        <x:v>Request Details 表</x:v>
      </x:c>
      <x:c r="E26" s="82" t="str">
        <x:v>多语言 / 国际 SEO</x:v>
      </x:c>
      <x:c r="F26" s="82" t="str">
        <x:v>30 天内</x:v>
      </x:c>
      <x:c r="G26" s="82" t="str">
        <x:v>未联系</x:v>
      </x:c>
      <x:c r="H26" s="82" t="str">
        <x:v>跨境品牌高度匹配</x:v>
      </x:c>
      <x:c r="I26" s="66"/>
      <x:c r="J26" s="66"/>
      <x:c r="K26" s="66"/>
      <x:c r="L26" s="66"/>
      <x:c r="M26" s="66"/>
      <x:c r="N26" s="66"/>
      <x:c r="O26" s="66"/>
      <x:c r="P26" s="66"/>
    </x:row>
    <x:row r="27">
      <x:c r="A27" s="66"/>
      <x:c r="B27" s="66"/>
      <x:c r="C27" s="66"/>
      <x:c r="D27" s="66"/>
      <x:c r="E27" s="66"/>
      <x:c r="F27" s="66"/>
      <x:c r="G27" s="66"/>
      <x:c r="H27" s="66"/>
      <x:c r="I27" s="66"/>
      <x:c r="J27" s="66"/>
      <x:c r="K27" s="66"/>
      <x:c r="L27" s="66"/>
      <x:c r="M27" s="66"/>
      <x:c r="N27" s="66"/>
      <x:c r="O27" s="66"/>
      <x:c r="P27" s="66"/>
    </x:row>
    <x:row r="28">
      <x:c r="A28" s="66"/>
      <x:c r="B28" s="66"/>
      <x:c r="C28" s="66"/>
      <x:c r="D28" s="66"/>
      <x:c r="E28" s="66"/>
      <x:c r="F28" s="66"/>
      <x:c r="G28" s="66"/>
      <x:c r="H28" s="66"/>
      <x:c r="I28" s="66"/>
      <x:c r="J28" s="66"/>
      <x:c r="K28" s="66"/>
      <x:c r="L28" s="66"/>
      <x:c r="M28" s="66"/>
      <x:c r="N28" s="66"/>
      <x:c r="O28" s="66"/>
      <x:c r="P28" s="66"/>
    </x:row>
    <x:row r="29">
      <x:c r="A29" s="79" t="str">
        <x:v>你原始清单的校正</x:v>
      </x:c>
      <x:c r="B29" s="79" t="str">
        <x:v>你原始清单的校正</x:v>
      </x:c>
      <x:c r="C29" s="79" t="str">
        <x:v>你原始清单的校正</x:v>
      </x:c>
      <x:c r="D29" s="79" t="str">
        <x:v>你原始清单的校正</x:v>
      </x:c>
      <x:c r="E29" s="79" t="str">
        <x:v>你原始清单的校正</x:v>
      </x:c>
      <x:c r="F29" s="79" t="str">
        <x:v>你原始清单的校正</x:v>
      </x:c>
      <x:c r="G29" s="79" t="str">
        <x:v>你原始清单的校正</x:v>
      </x:c>
      <x:c r="H29" s="79" t="str">
        <x:v>你原始清单的校正</x:v>
      </x:c>
      <x:c r="I29" s="66"/>
      <x:c r="J29" s="66"/>
      <x:c r="K29" s="66"/>
      <x:c r="L29" s="66"/>
      <x:c r="M29" s="66"/>
      <x:c r="N29" s="66"/>
      <x:c r="O29" s="66"/>
      <x:c r="P29" s="66"/>
    </x:row>
    <x:row r="30" ht="34" customHeight="1">
      <x:c r="A30" s="83" t="str">
        <x:v>SMX Advanced</x:v>
      </x:c>
      <x:c r="B30" s="84" t="str">
        <x:v>美国 + 欧洲；非美国优先联系 Berlin 场（2026-09-29—10-01）</x:v>
      </x:c>
      <x:c r="C30" s="66"/>
      <x:c r="D30" s="66"/>
      <x:c r="E30" s="66"/>
      <x:c r="F30" s="66"/>
      <x:c r="G30" s="66"/>
      <x:c r="H30" s="66"/>
      <x:c r="I30" s="66"/>
      <x:c r="J30" s="66"/>
      <x:c r="K30" s="66"/>
      <x:c r="L30" s="66"/>
      <x:c r="M30" s="66"/>
      <x:c r="N30" s="66"/>
      <x:c r="O30" s="66"/>
      <x:c r="P30" s="66"/>
    </x:row>
    <x:row r="31" ht="34" customHeight="1">
      <x:c r="A31" s="83" t="str">
        <x:v>brightonSEO</x:v>
      </x:c>
      <x:c r="B31" s="84" t="str">
        <x:v>英国 + 美国；非美国优先联系 Brighton UK 场（2026-10-08—09）</x:v>
      </x:c>
      <x:c r="C31" s="66"/>
      <x:c r="D31" s="66"/>
      <x:c r="E31" s="66"/>
      <x:c r="F31" s="66"/>
      <x:c r="G31" s="66"/>
      <x:c r="H31" s="66"/>
      <x:c r="I31" s="66"/>
      <x:c r="J31" s="66"/>
      <x:c r="K31" s="66"/>
      <x:c r="L31" s="66"/>
      <x:c r="M31" s="66"/>
      <x:c r="N31" s="66"/>
      <x:c r="O31" s="66"/>
      <x:c r="P31" s="66"/>
    </x:row>
    <x:row r="32" ht="34" customHeight="1">
      <x:c r="A32" s="83" t="str">
        <x:v>Ahrefs Evolve</x:v>
      </x:c>
      <x:c r="B32" s="84" t="str">
        <x:v>美国 + 新加坡；新加坡下一场已公布为 2027-04-14—15</x:v>
      </x:c>
      <x:c r="C32" s="66"/>
      <x:c r="D32" s="66"/>
      <x:c r="E32" s="66"/>
      <x:c r="F32" s="66"/>
      <x:c r="G32" s="66"/>
      <x:c r="H32" s="66"/>
      <x:c r="I32" s="66"/>
      <x:c r="J32" s="66"/>
      <x:c r="K32" s="66"/>
      <x:c r="L32" s="66"/>
      <x:c r="M32" s="66"/>
      <x:c r="N32" s="66"/>
      <x:c r="O32" s="66"/>
      <x:c r="P32" s="66"/>
    </x:row>
    <x:row r="33" ht="34" customHeight="1">
      <x:c r="A33" s="83" t="str">
        <x:v>MozCon</x:v>
      </x:c>
      <x:c r="B33" s="84" t="str">
        <x:v>现在是 roadshow，含 NYC 与 London；非美国目标为 London 2026-11-13</x:v>
      </x:c>
      <x:c r="C33" s="66"/>
      <x:c r="D33" s="66"/>
      <x:c r="E33" s="66"/>
      <x:c r="F33" s="66"/>
      <x:c r="G33" s="66"/>
      <x:c r="H33" s="66"/>
      <x:c r="I33" s="66"/>
      <x:c r="J33" s="66"/>
      <x:c r="K33" s="66"/>
      <x:c r="L33" s="66"/>
      <x:c r="M33" s="66"/>
      <x:c r="N33" s="66"/>
      <x:c r="O33" s="66"/>
      <x:c r="P33" s="66"/>
    </x:row>
    <x:row r="34" ht="34" customHeight="1">
      <x:c r="A34" s="83" t="str">
        <x:v>Search SEOul</x:v>
      </x:c>
      <x:c r="B34" s="84" t="str">
        <x:v>官方拼写为 Search SEOul；2026-09-01—04 正在举行，建议直接谈 2027</x:v>
      </x:c>
      <x:c r="C34" s="66"/>
      <x:c r="D34" s="66"/>
      <x:c r="E34" s="66"/>
      <x:c r="F34" s="66"/>
      <x:c r="G34" s="66"/>
      <x:c r="H34" s="66"/>
      <x:c r="I34" s="66"/>
      <x:c r="J34" s="66"/>
      <x:c r="K34" s="66"/>
      <x:c r="L34" s="66"/>
      <x:c r="M34" s="66"/>
      <x:c r="N34" s="66"/>
      <x:c r="O34" s="66"/>
      <x:c r="P34" s="66"/>
    </x:row>
    <x:row r="35">
      <x:c r="A35" s="66"/>
      <x:c r="B35" s="66"/>
      <x:c r="C35" s="66"/>
      <x:c r="D35" s="66"/>
      <x:c r="E35" s="66"/>
      <x:c r="F35" s="66"/>
      <x:c r="G35" s="66"/>
      <x:c r="H35" s="66"/>
      <x:c r="I35" s="66"/>
      <x:c r="J35" s="66"/>
      <x:c r="K35" s="66"/>
      <x:c r="L35" s="66"/>
      <x:c r="M35" s="66"/>
      <x:c r="N35" s="66"/>
      <x:c r="O35" s="66"/>
      <x:c r="P35" s="66"/>
    </x:row>
  </x:sheetData>
  <x:mergeCells>
    <x:mergeCell ref="A1:P2"/>
    <x:mergeCell ref="A3:P4"/>
    <x:mergeCell ref="A6:D6"/>
    <x:mergeCell ref="A7:D8"/>
    <x:mergeCell ref="E6:H6"/>
    <x:mergeCell ref="E7:H8"/>
    <x:mergeCell ref="I6:L6"/>
    <x:mergeCell ref="I7:L8"/>
    <x:mergeCell ref="M6:P6"/>
    <x:mergeCell ref="M7:P8"/>
    <x:mergeCell ref="A10:H11"/>
    <x:mergeCell ref="I10:P11"/>
    <x:mergeCell ref="A13:H13"/>
    <x:mergeCell ref="A29:H29"/>
  </x:mergeCells>
  <x:pageMargins left="0.7" right="0.7" top="0.75" bottom="0.75" header="0.3" footer="0.3"/>
  <x:drawing xmlns:r="http://schemas.openxmlformats.org/officeDocument/2006/relationships" r:id="Reba7dbe813a6461d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9" hidden="0" customWidth="1"/>
    <x:col min="3" max="3" width="14" hidden="0" customWidth="1"/>
    <x:col min="4" max="4" width="20" hidden="0" customWidth="1"/>
    <x:col min="5" max="5" width="23" hidden="0" customWidth="1"/>
    <x:col min="6" max="6" width="23" hidden="0" customWidth="1"/>
    <x:col min="7" max="7" width="24" hidden="0" customWidth="1"/>
    <x:col min="8" max="8" width="37" hidden="0" customWidth="1"/>
    <x:col min="9" max="9" width="43" hidden="0" customWidth="1"/>
    <x:col min="10" max="10" width="38" hidden="0" customWidth="1"/>
    <x:col min="11" max="11" width="43" hidden="0" customWidth="1"/>
    <x:col min="12" max="12" width="43" hidden="0" customWidth="1"/>
    <x:col min="13" max="13" width="45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2" hidden="0" customWidth="1"/>
    <x:col min="19" max="19" width="42" hidden="0" customWidth="1"/>
  </x:cols>
  <x:sheetData>
    <x:row r="1" ht="30" customHeight="1">
      <x:c r="A1" s="4" t="str">
        <x:v>Conference Tracker — 官方联系方式、优先级与跟进状态</x:v>
      </x:c>
      <x:c r="B1" s="4" t="str">
        <x:v>Conference Tracker — 官方联系方式、优先级与跟进状态</x:v>
      </x:c>
      <x:c r="C1" s="4" t="str">
        <x:v>Conference Tracker — 官方联系方式、优先级与跟进状态</x:v>
      </x:c>
      <x:c r="D1" s="4" t="str">
        <x:v>Conference Tracker — 官方联系方式、优先级与跟进状态</x:v>
      </x:c>
      <x:c r="E1" s="4" t="str">
        <x:v>Conference Tracker — 官方联系方式、优先级与跟进状态</x:v>
      </x:c>
      <x:c r="F1" s="4" t="str">
        <x:v>Conference Tracker — 官方联系方式、优先级与跟进状态</x:v>
      </x:c>
      <x:c r="G1" s="4" t="str">
        <x:v>Conference Tracker — 官方联系方式、优先级与跟进状态</x:v>
      </x:c>
      <x:c r="H1" s="4" t="str">
        <x:v>Conference Tracker — 官方联系方式、优先级与跟进状态</x:v>
      </x:c>
      <x:c r="I1" s="4" t="str">
        <x:v>Conference Tracker — 官方联系方式、优先级与跟进状态</x:v>
      </x:c>
      <x:c r="J1" s="4" t="str">
        <x:v>Conference Tracker — 官方联系方式、优先级与跟进状态</x:v>
      </x:c>
      <x:c r="K1" s="4" t="str">
        <x:v>Conference Tracker — 官方联系方式、优先级与跟进状态</x:v>
      </x:c>
      <x:c r="L1" s="4" t="str">
        <x:v>Conference Tracker — 官方联系方式、优先级与跟进状态</x:v>
      </x:c>
      <x:c r="M1" s="4" t="str">
        <x:v>Conference Tracker — 官方联系方式、优先级与跟进状态</x:v>
      </x:c>
      <x:c r="N1" s="4" t="str">
        <x:v>Conference Tracker — 官方联系方式、优先级与跟进状态</x:v>
      </x:c>
      <x:c r="O1" s="4" t="str">
        <x:v>Conference Tracker — 官方联系方式、优先级与跟进状态</x:v>
      </x:c>
      <x:c r="P1" s="4" t="str">
        <x:v>Conference Tracker — 官方联系方式、优先级与跟进状态</x:v>
      </x:c>
      <x:c r="Q1" s="4" t="str">
        <x:v>Conference Tracker — 官方联系方式、优先级与跟进状态</x:v>
      </x:c>
      <x:c r="R1" s="4" t="str">
        <x:v>Conference Tracker — 官方联系方式、优先级与跟进状态</x:v>
      </x:c>
      <x:c r="S1" s="4" t="str">
        <x:v>Conference Tracker — 官方联系方式、优先级与跟进状态</x:v>
      </x:c>
    </x:row>
    <x:row r="2" ht="30" customHeight="1">
      <x:c r="A2" s="4" t="str">
        <x:v>Conference Tracker — 官方联系方式、优先级与跟进状态</x:v>
      </x:c>
      <x:c r="B2" s="4" t="str">
        <x:v>Conference Tracker — 官方联系方式、优先级与跟进状态</x:v>
      </x:c>
      <x:c r="C2" s="4" t="str">
        <x:v>Conference Tracker — 官方联系方式、优先级与跟进状态</x:v>
      </x:c>
      <x:c r="D2" s="4" t="str">
        <x:v>Conference Tracker — 官方联系方式、优先级与跟进状态</x:v>
      </x:c>
      <x:c r="E2" s="4" t="str">
        <x:v>Conference Tracker — 官方联系方式、优先级与跟进状态</x:v>
      </x:c>
      <x:c r="F2" s="4" t="str">
        <x:v>Conference Tracker — 官方联系方式、优先级与跟进状态</x:v>
      </x:c>
      <x:c r="G2" s="4" t="str">
        <x:v>Conference Tracker — 官方联系方式、优先级与跟进状态</x:v>
      </x:c>
      <x:c r="H2" s="4" t="str">
        <x:v>Conference Tracker — 官方联系方式、优先级与跟进状态</x:v>
      </x:c>
      <x:c r="I2" s="4" t="str">
        <x:v>Conference Tracker — 官方联系方式、优先级与跟进状态</x:v>
      </x:c>
      <x:c r="J2" s="4" t="str">
        <x:v>Conference Tracker — 官方联系方式、优先级与跟进状态</x:v>
      </x:c>
      <x:c r="K2" s="4" t="str">
        <x:v>Conference Tracker — 官方联系方式、优先级与跟进状态</x:v>
      </x:c>
      <x:c r="L2" s="4" t="str">
        <x:v>Conference Tracker — 官方联系方式、优先级与跟进状态</x:v>
      </x:c>
      <x:c r="M2" s="4" t="str">
        <x:v>Conference Tracker — 官方联系方式、优先级与跟进状态</x:v>
      </x:c>
      <x:c r="N2" s="4" t="str">
        <x:v>Conference Tracker — 官方联系方式、优先级与跟进状态</x:v>
      </x:c>
      <x:c r="O2" s="4" t="str">
        <x:v>Conference Tracker — 官方联系方式、优先级与跟进状态</x:v>
      </x:c>
      <x:c r="P2" s="4" t="str">
        <x:v>Conference Tracker — 官方联系方式、优先级与跟进状态</x:v>
      </x:c>
      <x:c r="Q2" s="4" t="str">
        <x:v>Conference Tracker — 官方联系方式、优先级与跟进状态</x:v>
      </x:c>
      <x:c r="R2" s="4" t="str">
        <x:v>Conference Tracker — 官方联系方式、优先级与跟进状态</x:v>
      </x:c>
      <x:c r="S2" s="4" t="str">
        <x:v>Conference Tracker — 官方联系方式、优先级与跟进状态</x:v>
      </x:c>
    </x:row>
    <x:row r="3" ht="34" customHeight="1">
      <x:c r="A3" s="88" t="str">
        <x:v>使用方法：从 A 类开始；外联后更新 N–Q 列。所有邮箱与入口均来自官方页面或官方组织方信息；“表单优先”表示邮箱未在官网明文公开。</x:v>
      </x:c>
      <x:c r="B3" s="88" t="str">
        <x:v>使用方法：从 A 类开始；外联后更新 N–Q 列。所有邮箱与入口均来自官方页面或官方组织方信息；“表单优先”表示邮箱未在官网明文公开。</x:v>
      </x:c>
      <x:c r="C3" s="88" t="str">
        <x:v>使用方法：从 A 类开始；外联后更新 N–Q 列。所有邮箱与入口均来自官方页面或官方组织方信息；“表单优先”表示邮箱未在官网明文公开。</x:v>
      </x:c>
      <x:c r="D3" s="88" t="str">
        <x:v>使用方法：从 A 类开始；外联后更新 N–Q 列。所有邮箱与入口均来自官方页面或官方组织方信息；“表单优先”表示邮箱未在官网明文公开。</x:v>
      </x:c>
      <x:c r="E3" s="88" t="str">
        <x:v>使用方法：从 A 类开始；外联后更新 N–Q 列。所有邮箱与入口均来自官方页面或官方组织方信息；“表单优先”表示邮箱未在官网明文公开。</x:v>
      </x:c>
      <x:c r="F3" s="88" t="str">
        <x:v>使用方法：从 A 类开始；外联后更新 N–Q 列。所有邮箱与入口均来自官方页面或官方组织方信息；“表单优先”表示邮箱未在官网明文公开。</x:v>
      </x:c>
      <x:c r="G3" s="88" t="str">
        <x:v>使用方法：从 A 类开始；外联后更新 N–Q 列。所有邮箱与入口均来自官方页面或官方组织方信息；“表单优先”表示邮箱未在官网明文公开。</x:v>
      </x:c>
      <x:c r="H3" s="88" t="str">
        <x:v>使用方法：从 A 类开始；外联后更新 N–Q 列。所有邮箱与入口均来自官方页面或官方组织方信息；“表单优先”表示邮箱未在官网明文公开。</x:v>
      </x:c>
      <x:c r="I3" s="88" t="str">
        <x:v>使用方法：从 A 类开始；外联后更新 N–Q 列。所有邮箱与入口均来自官方页面或官方组织方信息；“表单优先”表示邮箱未在官网明文公开。</x:v>
      </x:c>
      <x:c r="J3" s="88" t="str">
        <x:v>使用方法：从 A 类开始；外联后更新 N–Q 列。所有邮箱与入口均来自官方页面或官方组织方信息；“表单优先”表示邮箱未在官网明文公开。</x:v>
      </x:c>
      <x:c r="K3" s="88" t="str">
        <x:v>使用方法：从 A 类开始；外联后更新 N–Q 列。所有邮箱与入口均来自官方页面或官方组织方信息；“表单优先”表示邮箱未在官网明文公开。</x:v>
      </x:c>
      <x:c r="L3" s="88" t="str">
        <x:v>使用方法：从 A 类开始；外联后更新 N–Q 列。所有邮箱与入口均来自官方页面或官方组织方信息；“表单优先”表示邮箱未在官网明文公开。</x:v>
      </x:c>
      <x:c r="M3" s="88" t="str">
        <x:v>使用方法：从 A 类开始；外联后更新 N–Q 列。所有邮箱与入口均来自官方页面或官方组织方信息；“表单优先”表示邮箱未在官网明文公开。</x:v>
      </x:c>
      <x:c r="N3" s="88" t="str">
        <x:v>使用方法：从 A 类开始；外联后更新 N–Q 列。所有邮箱与入口均来自官方页面或官方组织方信息；“表单优先”表示邮箱未在官网明文公开。</x:v>
      </x:c>
      <x:c r="O3" s="88" t="str">
        <x:v>使用方法：从 A 类开始；外联后更新 N–Q 列。所有邮箱与入口均来自官方页面或官方组织方信息；“表单优先”表示邮箱未在官网明文公开。</x:v>
      </x:c>
      <x:c r="P3" s="88" t="str">
        <x:v>使用方法：从 A 类开始；外联后更新 N–Q 列。所有邮箱与入口均来自官方页面或官方组织方信息；“表单优先”表示邮箱未在官网明文公开。</x:v>
      </x:c>
      <x:c r="Q3" s="88" t="str">
        <x:v>使用方法：从 A 类开始；外联后更新 N–Q 列。所有邮箱与入口均来自官方页面或官方组织方信息；“表单优先”表示邮箱未在官网明文公开。</x:v>
      </x:c>
      <x:c r="R3" s="88" t="str">
        <x:v>使用方法：从 A 类开始；外联后更新 N–Q 列。所有邮箱与入口均来自官方页面或官方组织方信息；“表单优先”表示邮箱未在官网明文公开。</x:v>
      </x:c>
      <x:c r="S3" s="88" t="str">
        <x:v>使用方法：从 A 类开始；外联后更新 N–Q 列。所有邮箱与入口均来自官方页面或官方组织方信息；“表单优先”表示邮箱未在官网明文公开。</x:v>
      </x:c>
    </x:row>
    <x:row r="5" ht="44" customHeight="1">
      <x:c r="A5" s="93" t="str">
        <x:v>优先级</x:v>
      </x:c>
      <x:c r="B5" s="93" t="str">
        <x:v>会议</x:v>
      </x:c>
      <x:c r="C5" s="93" t="str">
        <x:v>区域</x:v>
      </x:c>
      <x:c r="D5" s="93" t="str">
        <x:v>国家 / 城市</x:v>
      </x:c>
      <x:c r="E5" s="93" t="str">
        <x:v>下一场 / 最近场日期</x:v>
      </x:c>
      <x:c r="F5" s="93" t="str">
        <x:v>时间状态</x:v>
      </x:c>
      <x:c r="G5" s="93" t="str">
        <x:v>官方联系人 / 团队</x:v>
      </x:c>
      <x:c r="H5" s="93" t="str">
        <x:v>邮箱 / 电话 / 联系方式</x:v>
      </x:c>
      <x:c r="I5" s="93" t="str">
        <x:v>赞助 / 合作入口</x:v>
      </x:c>
      <x:c r="J5" s="93" t="str">
        <x:v>官方网站</x:v>
      </x:c>
      <x:c r="K5" s="93" t="str">
        <x:v>规模 / 受众</x:v>
      </x:c>
      <x:c r="L5" s="93" t="str">
        <x:v>推荐切入点</x:v>
      </x:c>
      <x:c r="M5" s="93" t="str">
        <x:v>建议下一步</x:v>
      </x:c>
      <x:c r="N5" s="93" t="str">
        <x:v>外联状态</x:v>
      </x:c>
      <x:c r="O5" s="93" t="str">
        <x:v>负责人</x:v>
      </x:c>
      <x:c r="P5" s="93" t="str">
        <x:v>上次联系</x:v>
      </x:c>
      <x:c r="Q5" s="93" t="str">
        <x:v>下次跟进</x:v>
      </x:c>
      <x:c r="R5" s="93" t="str">
        <x:v>核验日期</x:v>
      </x:c>
      <x:c r="S5" s="93" t="str">
        <x:v>信息来源</x:v>
      </x:c>
    </x:row>
    <x:row r="6" ht="66" customHeight="1">
      <x:c r="A6" s="98" t="str">
        <x:v>A-立即联系</x:v>
      </x:c>
      <x:c r="B6" s="97" t="str">
        <x:v>Search SEOul</x:v>
      </x:c>
      <x:c r="C6" s="97" t="str">
        <x:v>亚太</x:v>
      </x:c>
      <x:c r="D6" s="97" t="str">
        <x:v>韩国 / 首尔</x:v>
      </x:c>
      <x:c r="E6" s="97" t="str">
        <x:v>2026-09-01—04</x:v>
      </x:c>
      <x:c r="F6" s="97" t="str">
        <x:v>正在举行；谈 2027</x:v>
      </x:c>
      <x:c r="G6" s="97" t="str">
        <x:v>Partnership Team</x:v>
      </x:c>
      <x:c r="H6" s="97" t="str">
        <x:v>partner@search-seoul.com；support@search-seoul.com</x:v>
      </x:c>
      <x:c r="I6" s="99" t="str">
        <x:v>https://search-seoul.com/</x:v>
      </x:c>
      <x:c r="J6" s="99" t="str">
        <x:v>https://search-seoul.com/</x:v>
      </x:c>
      <x:c r="K6" s="97" t="str">
        <x:v>韩国首个全球 SEO 大会；150+ 参会者、20+ 演讲者</x:v>
      </x:c>
      <x:c r="L6" s="97" t="str">
        <x:v>2027 早鸟赞助、社区/媒体合作、中文市场联动</x:v>
      </x:c>
      <x:c r="M6" s="97" t="str">
        <x:v>本周发邮件：祝贺本届举行，并索要 2027 partner deck 与预留时间表</x:v>
      </x:c>
      <x:c r="N6" s="97" t="str">
        <x:v>未联系</x:v>
      </x:c>
      <x:c r="O6" s="97" t="str"/>
      <x:c r="P6" s="97" t="str"/>
      <x:c r="Q6" s="97" t="str"/>
      <x:c r="R6" s="100" t="str">
        <x:v>2026-09-02</x:v>
      </x:c>
      <x:c r="S6" s="99" t="str">
        <x:v>https://search-seoul.com/</x:v>
      </x:c>
    </x:row>
    <x:row r="7" ht="66" customHeight="1">
      <x:c r="A7" s="98" t="str">
        <x:v>A-立即联系</x:v>
      </x:c>
      <x:c r="B7" s="97" t="str">
        <x:v>Shenzhen SEO Conference</x:v>
      </x:c>
      <x:c r="C7" s="97" t="str">
        <x:v>亚太</x:v>
      </x:c>
      <x:c r="D7" s="97" t="str">
        <x:v>中国 / 深圳</x:v>
      </x:c>
      <x:c r="E7" s="97" t="str">
        <x:v>2026-09-14—18</x:v>
      </x:c>
      <x:c r="F7" s="97" t="str">
        <x:v>临近；仍可询问库存</x:v>
      </x:c>
      <x:c r="G7" s="97" t="str">
        <x:v>Sponsorship Team</x:v>
      </x:c>
      <x:c r="H7" s="97" t="str">
        <x:v>官网赞助表；微信 ShenzhenSEOConf</x:v>
      </x:c>
      <x:c r="I7" s="99" t="str">
        <x:v>https://shenzhenseoconference.com/sponsors</x:v>
      </x:c>
      <x:c r="J7" s="99" t="str">
        <x:v>https://shenzhenseoconference.com/</x:v>
      </x:c>
      <x:c r="K7" s="97" t="str">
        <x:v>600 席；30+ 国家；跨境、联盟、技术 SEO 人群</x:v>
      </x:c>
      <x:c r="L7" s="97" t="str">
        <x:v>现场联名活动、展位、晚宴/酒会、媒体合作</x:v>
      </x:c>
      <x:c r="M7" s="97" t="str">
        <x:v>当天微信 + 表单双线联系；优先问剩余 Bronze/Silver 或 2027 优先权</x:v>
      </x:c>
      <x:c r="N7" s="97" t="str">
        <x:v>未联系</x:v>
      </x:c>
      <x:c r="O7" s="97" t="str"/>
      <x:c r="P7" s="97" t="str"/>
      <x:c r="Q7" s="97" t="str"/>
      <x:c r="R7" s="100" t="str">
        <x:v>2026-09-02</x:v>
      </x:c>
      <x:c r="S7" s="99" t="str">
        <x:v>https://shenzhenseoconference.com/sponsors</x:v>
      </x:c>
    </x:row>
    <x:row r="8" ht="66" customHeight="1">
      <x:c r="A8" s="98" t="str">
        <x:v>B-重点培育</x:v>
      </x:c>
      <x:c r="B8" s="97" t="str">
        <x:v>SearchNorwichXL</x:v>
      </x:c>
      <x:c r="C8" s="97" t="str">
        <x:v>欧洲</x:v>
      </x:c>
      <x:c r="D8" s="97" t="str">
        <x:v>英国 / Norwich</x:v>
      </x:c>
      <x:c r="E8" s="97" t="str">
        <x:v>2026-09-24</x:v>
      </x:c>
      <x:c r="F8" s="97" t="str">
        <x:v>临近；部分赞助位仍开放</x:v>
      </x:c>
      <x:c r="G8" s="97" t="str">
        <x:v>SearchNorwich / Candour</x:v>
      </x:c>
      <x:c r="H8" s="97" t="str">
        <x:v>官网 Get in touch；+44 (0)1603 957068</x:v>
      </x:c>
      <x:c r="I8" s="99" t="str">
        <x:v>https://searchnorwich.org/sponsors</x:v>
      </x:c>
      <x:c r="J8" s="99" t="str">
        <x:v>https://searchnorwich.org/</x:v>
      </x:c>
      <x:c r="K8" s="97" t="str">
        <x:v>200+ 参会者；英国东部 SEO、AI Search 社群</x:v>
      </x:c>
      <x:c r="L8" s="97" t="str">
        <x:v>食品/体验类赞助、社区福利、内容共创</x:v>
      </x:c>
      <x:c r="M8" s="97" t="str">
        <x:v>用赞助页联系；突出对区域社群的具体贡献，不只要 Logo</x:v>
      </x:c>
      <x:c r="N8" s="97" t="str">
        <x:v>未联系</x:v>
      </x:c>
      <x:c r="O8" s="97" t="str"/>
      <x:c r="P8" s="97" t="str"/>
      <x:c r="Q8" s="97" t="str"/>
      <x:c r="R8" s="100" t="str">
        <x:v>2026-09-02</x:v>
      </x:c>
      <x:c r="S8" s="99" t="str">
        <x:v>https://searchnorwich.org/sponsors</x:v>
      </x:c>
    </x:row>
    <x:row r="9" ht="66" customHeight="1">
      <x:c r="A9" s="98" t="str">
        <x:v>A-立即联系</x:v>
      </x:c>
      <x:c r="B9" s="97" t="str">
        <x:v>SMX Advanced Europe</x:v>
      </x:c>
      <x:c r="C9" s="97" t="str">
        <x:v>欧洲</x:v>
      </x:c>
      <x:c r="D9" s="97" t="str">
        <x:v>德国 / 柏林</x:v>
      </x:c>
      <x:c r="E9" s="97" t="str">
        <x:v>2026-09-29—10-01</x:v>
      </x:c>
      <x:c r="F9" s="97" t="str">
        <x:v>临近；需立即确认</x:v>
      </x:c>
      <x:c r="G9" s="97" t="str">
        <x:v>Sandra Finlay / Rising Media</x:v>
      </x:c>
      <x:c r="H9" s="97" t="str">
        <x:v>exhibit@risingmedia.com；+49 (0)8151 556 6045</x:v>
      </x:c>
      <x:c r="I9" s="99" t="str">
        <x:v>https://smxadvanced.eu/partners/2026/</x:v>
      </x:c>
      <x:c r="J9" s="99" t="str">
        <x:v>https://smxadvanced.eu/</x:v>
      </x:c>
      <x:c r="K9" s="97" t="str">
        <x:v>高级搜索营销从业者；欧洲企业与代理商</x:v>
      </x:c>
      <x:c r="L9" s="97" t="str">
        <x:v>高阶产品演示、闭门圆桌、案例分享、线索获取</x:v>
      </x:c>
      <x:c r="M9" s="97" t="str">
        <x:v>24 小时内邮件 + 电话；索要剩余库存、参会职位分布和交付清单</x:v>
      </x:c>
      <x:c r="N9" s="97" t="str">
        <x:v>未联系</x:v>
      </x:c>
      <x:c r="O9" s="97" t="str"/>
      <x:c r="P9" s="97" t="str"/>
      <x:c r="Q9" s="97" t="str"/>
      <x:c r="R9" s="100" t="str">
        <x:v>2026-09-02</x:v>
      </x:c>
      <x:c r="S9" s="99" t="str">
        <x:v>https://smxadvanced.eu/partners/2026/</x:v>
      </x:c>
    </x:row>
    <x:row r="10" ht="66" customHeight="1">
      <x:c r="A10" s="98" t="str">
        <x:v>B-重点培育</x:v>
      </x:c>
      <x:c r="B10" s="97" t="str">
        <x:v>Search ’n Stuff Antalya</x:v>
      </x:c>
      <x:c r="C10" s="97" t="str">
        <x:v>欧洲/中东</x:v>
      </x:c>
      <x:c r="D10" s="97" t="str">
        <x:v>土耳其 / Antalya</x:v>
      </x:c>
      <x:c r="E10" s="97" t="str">
        <x:v>2026-10-01—04</x:v>
      </x:c>
      <x:c r="F10" s="97" t="str">
        <x:v>临近；票已售约 70%</x:v>
      </x:c>
      <x:c r="G10" s="97" t="str">
        <x:v>Yağmur Şimşek</x:v>
      </x:c>
      <x:c r="H10" s="97" t="str">
        <x:v>yagmur@searchnstuff.co.uk</x:v>
      </x:c>
      <x:c r="I10" s="99" t="str">
        <x:v>https://searchnstuff.co.uk/search-n-stuff-antalya-conference-2026/</x:v>
      </x:c>
      <x:c r="J10" s="99" t="str">
        <x:v>https://searchnstuff.co.uk/search-n-stuff-antalya-conference-2026/</x:v>
      </x:c>
      <x:c r="K10" s="97" t="str">
        <x:v>国际化精品 retreat；SEO、PPC、CRO、数据</x:v>
      </x:c>
      <x:c r="L10" s="97" t="str">
        <x:v>奖项/晚宴、体验赞助、MENA+欧洲社区联动</x:v>
      </x:c>
      <x:c r="M10" s="97" t="str">
        <x:v>邮件直接问 Sponsor tiers、参会画像与仍可定制的独家权益</x:v>
      </x:c>
      <x:c r="N10" s="97" t="str">
        <x:v>未联系</x:v>
      </x:c>
      <x:c r="O10" s="97" t="str"/>
      <x:c r="P10" s="97" t="str"/>
      <x:c r="Q10" s="97" t="str"/>
      <x:c r="R10" s="100" t="str">
        <x:v>2026-09-02</x:v>
      </x:c>
      <x:c r="S10" s="99" t="str">
        <x:v>https://searchnstuff.co.uk/search-n-stuff-antalya-conference-2026/</x:v>
      </x:c>
    </x:row>
    <x:row r="11" ht="66" customHeight="1">
      <x:c r="A11" s="98" t="str">
        <x:v>A-立即联系</x:v>
      </x:c>
      <x:c r="B11" s="97" t="str">
        <x:v>SEO IRL</x:v>
      </x:c>
      <x:c r="C11" s="97" t="str">
        <x:v>北美（非美国）</x:v>
      </x:c>
      <x:c r="D11" s="97" t="str">
        <x:v>加拿大 / 多伦多</x:v>
      </x:c>
      <x:c r="E11" s="97" t="str">
        <x:v>2026-10-06—07</x:v>
      </x:c>
      <x:c r="F11" s="97" t="str">
        <x:v>赞助申请开放</x:v>
      </x:c>
      <x:c r="G11" s="97" t="str">
        <x:v>SEO IRL Team</x:v>
      </x:c>
      <x:c r="H11" s="97" t="str">
        <x:v>官网 Sponsor 邮件入口</x:v>
      </x:c>
      <x:c r="I11" s="99" t="str">
        <x:v>https://www.seoirl.com/</x:v>
      </x:c>
      <x:c r="J11" s="99" t="str">
        <x:v>https://www.seoirl.com/</x:v>
      </x:c>
      <x:c r="K11" s="97" t="str">
        <x:v>加拿大大型 SEO 会；约 250 名 SEO、AI Search 从业者</x:v>
      </x:c>
      <x:c r="L11" s="97" t="str">
        <x:v>工具试用、现场演示、AI SEO 数据报告</x:v>
      </x:c>
      <x:c r="M11" s="97" t="str">
        <x:v>从官网 sponsorship mailto 发起；询问 Gold/Silver 库存和 attendee breakdown</x:v>
      </x:c>
      <x:c r="N11" s="97" t="str">
        <x:v>未联系</x:v>
      </x:c>
      <x:c r="O11" s="97" t="str"/>
      <x:c r="P11" s="97" t="str"/>
      <x:c r="Q11" s="97" t="str"/>
      <x:c r="R11" s="100" t="str">
        <x:v>2026-09-02</x:v>
      </x:c>
      <x:c r="S11" s="99" t="str">
        <x:v>https://www.seoirl.com/</x:v>
      </x:c>
    </x:row>
    <x:row r="12" ht="66" customHeight="1">
      <x:c r="A12" s="98" t="str">
        <x:v>A-立即联系</x:v>
      </x:c>
      <x:c r="B12" s="97" t="str">
        <x:v>brightonSEO UK</x:v>
      </x:c>
      <x:c r="C12" s="97" t="str">
        <x:v>欧洲</x:v>
      </x:c>
      <x:c r="D12" s="97" t="str">
        <x:v>英国 / Brighton</x:v>
      </x:c>
      <x:c r="E12" s="97" t="str">
        <x:v>2026-10-08—09</x:v>
      </x:c>
      <x:c r="F12" s="97" t="str">
        <x:v>可申请赞助</x:v>
      </x:c>
      <x:c r="G12" s="97" t="str">
        <x:v>Dre / Rough Agenda</x:v>
      </x:c>
      <x:c r="H12" s="97" t="str">
        <x:v>dre@roughagenda.com；+44 1273 805525</x:v>
      </x:c>
      <x:c r="I12" s="99" t="str">
        <x:v>https://brightonseo.com/sponsor-brightonseo</x:v>
      </x:c>
      <x:c r="J12" s="99" t="str">
        <x:v>https://brightonseo.com/</x:v>
      </x:c>
      <x:c r="K12" s="97" t="str">
        <x:v>4,000+ 英国场参会者；50+ 国家；约 52% Director+</x:v>
      </x:c>
      <x:c r="L12" s="97" t="str">
        <x:v>品牌曝光、展位、Workshop、线索获取</x:v>
      </x:c>
      <x:c r="M12" s="97" t="str">
        <x:v>邮件索要 UK sponsor pack；用目标客户比例和可量化 activation 方案切入</x:v>
      </x:c>
      <x:c r="N12" s="97" t="str">
        <x:v>未联系</x:v>
      </x:c>
      <x:c r="O12" s="97" t="str"/>
      <x:c r="P12" s="97" t="str"/>
      <x:c r="Q12" s="97" t="str"/>
      <x:c r="R12" s="100" t="str">
        <x:v>2026-09-02</x:v>
      </x:c>
      <x:c r="S12" s="99" t="str">
        <x:v>https://brightonseo.com/sponsor-brightonseo</x:v>
      </x:c>
    </x:row>
    <x:row r="13" ht="66" customHeight="1">
      <x:c r="A13" s="98" t="str">
        <x:v>A-立即联系</x:v>
      </x:c>
      <x:c r="B13" s="97" t="str">
        <x:v>Semrush Spotlight</x:v>
      </x:c>
      <x:c r="C13" s="97" t="str">
        <x:v>欧洲</x:v>
      </x:c>
      <x:c r="D13" s="97" t="str">
        <x:v>英国 / 伦敦</x:v>
      </x:c>
      <x:c r="E13" s="97" t="str">
        <x:v>2026-10-13</x:v>
      </x:c>
      <x:c r="F13" s="97" t="str">
        <x:v>赞助入口开放</x:v>
      </x:c>
      <x:c r="G13" s="97" t="str">
        <x:v>Spotlight Sponsorship Team</x:v>
      </x:c>
      <x:c r="H13" s="97" t="str">
        <x:v>官网 Sponsorship Typeform</x:v>
      </x:c>
      <x:c r="I13" s="99" t="str">
        <x:v>https://www.spotlightconf.com/sponsors</x:v>
      </x:c>
      <x:c r="J13" s="99" t="str">
        <x:v>https://www.spotlightconf.com/</x:v>
      </x:c>
      <x:c r="K13" s="97" t="str">
        <x:v>1,000 名资深营销人；700+ 公司</x:v>
      </x:c>
      <x:c r="L13" s="97" t="str">
        <x:v>高层圆桌、产品体验、联合研究/案例</x:v>
      </x:c>
      <x:c r="M13" s="97" t="str">
        <x:v>先填 Typeform，再用 LinkedIn 找 Partnerships 团队补充定制方案</x:v>
      </x:c>
      <x:c r="N13" s="97" t="str">
        <x:v>未联系</x:v>
      </x:c>
      <x:c r="O13" s="97" t="str"/>
      <x:c r="P13" s="97" t="str"/>
      <x:c r="Q13" s="97" t="str"/>
      <x:c r="R13" s="100" t="str">
        <x:v>2026-09-02</x:v>
      </x:c>
      <x:c r="S13" s="99" t="str">
        <x:v>https://www.spotlightconf.com/sponsors</x:v>
      </x:c>
    </x:row>
    <x:row r="14" ht="66" customHeight="1">
      <x:c r="A14" s="98" t="str">
        <x:v>B-重点培育</x:v>
      </x:c>
      <x:c r="B14" s="97" t="str">
        <x:v>SEO On Stage — Athens</x:v>
      </x:c>
      <x:c r="C14" s="97" t="str">
        <x:v>欧洲</x:v>
      </x:c>
      <x:c r="D14" s="97" t="str">
        <x:v>希腊 / 雅典</x:v>
      </x:c>
      <x:c r="E14" s="97" t="str">
        <x:v>2026-10-24</x:v>
      </x:c>
      <x:c r="F14" s="97" t="str">
        <x:v>创始届；赞助招募中</x:v>
      </x:c>
      <x:c r="G14" s="97" t="str">
        <x:v>Black Lantern Marketing</x:v>
      </x:c>
      <x:c r="H14" s="97" t="str">
        <x:v>seo-on-stage@black-lantern.com</x:v>
      </x:c>
      <x:c r="I14" s="99" t="str">
        <x:v>https://seo-on-stage.com/</x:v>
      </x:c>
      <x:c r="J14" s="99" t="str">
        <x:v>https://seo-on-stage.com/</x:v>
      </x:c>
      <x:c r="K14" s="97" t="str">
        <x:v>戏剧化精品大会；搜索、内容、营销；三城巡回</x:v>
      </x:c>
      <x:c r="L14" s="97" t="str">
        <x:v>创始合作伙伴、舞台内容、品牌体验、鸡尾酒/周边</x:v>
      </x:c>
      <x:c r="M14" s="97" t="str">
        <x:v>强调愿意共创首届体验；同时打包询问 Dubai + Prague 三城权益</x:v>
      </x:c>
      <x:c r="N14" s="97" t="str">
        <x:v>未联系</x:v>
      </x:c>
      <x:c r="O14" s="97" t="str"/>
      <x:c r="P14" s="97" t="str"/>
      <x:c r="Q14" s="97" t="str"/>
      <x:c r="R14" s="100" t="str">
        <x:v>2026-09-02</x:v>
      </x:c>
      <x:c r="S14" s="99" t="str">
        <x:v>https://seo-on-stage.com/</x:v>
      </x:c>
    </x:row>
    <x:row r="15" ht="66" customHeight="1">
      <x:c r="A15" s="98" t="str">
        <x:v>A-立即联系</x:v>
      </x:c>
      <x:c r="B15" s="97" t="str">
        <x:v>Chiang Mai SEO Conference</x:v>
      </x:c>
      <x:c r="C15" s="97" t="str">
        <x:v>亚太</x:v>
      </x:c>
      <x:c r="D15" s="97" t="str">
        <x:v>泰国 / 清迈</x:v>
      </x:c>
      <x:c r="E15" s="97" t="str">
        <x:v>2026-11-09—13</x:v>
      </x:c>
      <x:c r="F15" s="97" t="str">
        <x:v>可申请赞助</x:v>
      </x:c>
      <x:c r="G15" s="97" t="str">
        <x:v>CMSEO Team</x:v>
      </x:c>
      <x:c r="H15" s="97" t="str">
        <x:v>contact@chiangmaiseoconference.com</x:v>
      </x:c>
      <x:c r="I15" s="99" t="str">
        <x:v>https://chiangmaiseoconference.com/become-a-sponsor/</x:v>
      </x:c>
      <x:c r="J15" s="99" t="str">
        <x:v>https://chiangmaiseoconference.com/</x:v>
      </x:c>
      <x:c r="K15" s="97" t="str">
        <x:v>约 800 人；大量创始人、CEO、Director、Head</x:v>
      </x:c>
      <x:c r="L15" s="97" t="str">
        <x:v>高意向产品体验、VIP 晚宴、创始人圆桌</x:v>
      </x:c>
      <x:c r="M15" s="97" t="str">
        <x:v>邮件附一页合作概念；问 audience split、套餐、演讲/工作坊边界</x:v>
      </x:c>
      <x:c r="N15" s="97" t="str">
        <x:v>未联系</x:v>
      </x:c>
      <x:c r="O15" s="97" t="str"/>
      <x:c r="P15" s="97" t="str"/>
      <x:c r="Q15" s="97" t="str"/>
      <x:c r="R15" s="100" t="str">
        <x:v>2026-09-02</x:v>
      </x:c>
      <x:c r="S15" s="99" t="str">
        <x:v>https://chiangmaiseoconference.com/become-a-sponsor/</x:v>
      </x:c>
    </x:row>
    <x:row r="16" ht="66" customHeight="1">
      <x:c r="A16" s="98" t="str">
        <x:v>A-立即联系</x:v>
      </x:c>
      <x:c r="B16" s="97" t="str">
        <x:v>MozCon London</x:v>
      </x:c>
      <x:c r="C16" s="97" t="str">
        <x:v>欧洲</x:v>
      </x:c>
      <x:c r="D16" s="97" t="str">
        <x:v>英国 / 伦敦</x:v>
      </x:c>
      <x:c r="E16" s="97" t="str">
        <x:v>2026-11-13</x:v>
      </x:c>
      <x:c r="F16" s="97" t="str">
        <x:v>Roadshow 英国场</x:v>
      </x:c>
      <x:c r="G16" s="97" t="str">
        <x:v>Moz Events / Support</x:v>
      </x:c>
      <x:c r="H16" s="97" t="str">
        <x:v>官网联系入口（未公开独立赞助邮箱）</x:v>
      </x:c>
      <x:c r="I16" s="99" t="str">
        <x:v>https://moz.com/mozcon</x:v>
      </x:c>
      <x:c r="J16" s="99" t="str">
        <x:v>https://moz.com/mozcon</x:v>
      </x:c>
      <x:c r="K16" s="97" t="str">
        <x:v>Moz 品牌社区；SEO、内容、AI Search 从业者</x:v>
      </x:c>
      <x:c r="L16" s="97" t="str">
        <x:v>内容/社区合作、案例演讲、联合研究</x:v>
      </x:c>
      <x:c r="M16" s="97" t="str">
        <x:v>先通过 MozCon 页面询问 partnership；避免直接套用美国场预算假设</x:v>
      </x:c>
      <x:c r="N16" s="97" t="str">
        <x:v>未联系</x:v>
      </x:c>
      <x:c r="O16" s="97" t="str"/>
      <x:c r="P16" s="97" t="str"/>
      <x:c r="Q16" s="97" t="str"/>
      <x:c r="R16" s="100" t="str">
        <x:v>2026-09-02</x:v>
      </x:c>
      <x:c r="S16" s="99" t="str">
        <x:v>https://moz.com/mozcon</x:v>
      </x:c>
    </x:row>
    <x:row r="17" ht="66" customHeight="1">
      <x:c r="A17" s="98" t="str">
        <x:v>B-重点培育</x:v>
      </x:c>
      <x:c r="B17" s="97" t="str">
        <x:v>Link Building Mastery</x:v>
      </x:c>
      <x:c r="C17" s="97" t="str">
        <x:v>亚太</x:v>
      </x:c>
      <x:c r="D17" s="97" t="str">
        <x:v>泰国 / 清迈</x:v>
      </x:c>
      <x:c r="E17" s="97" t="str">
        <x:v>2026-11-14—15</x:v>
      </x:c>
      <x:c r="F17" s="97" t="str">
        <x:v>可直接联系</x:v>
      </x:c>
      <x:c r="G17" s="97" t="str">
        <x:v>Event Team</x:v>
      </x:c>
      <x:c r="H17" s="97" t="str">
        <x:v>admin@linkbuildingmastery.com；WhatsApp +66-99-258-2826</x:v>
      </x:c>
      <x:c r="I17" s="99" t="str">
        <x:v>https://linkbuildingmastery.com/</x:v>
      </x:c>
      <x:c r="J17" s="99" t="str">
        <x:v>https://linkbuildingmastery.com/</x:v>
      </x:c>
      <x:c r="K17" s="97" t="str">
        <x:v>高聚焦外链、联盟、代理商与 SEO Operator</x:v>
      </x:c>
      <x:c r="L17" s="97" t="str">
        <x:v>链接数据/外联工具演示、实战 workshop、套餐试用</x:v>
      </x:c>
      <x:c r="M17" s="97" t="str">
        <x:v>邮件 + WhatsApp；明确是否与 CMSEO 连续周联动、共享差旅和物料</x:v>
      </x:c>
      <x:c r="N17" s="97" t="str">
        <x:v>未联系</x:v>
      </x:c>
      <x:c r="O17" s="97" t="str"/>
      <x:c r="P17" s="97" t="str"/>
      <x:c r="Q17" s="97" t="str"/>
      <x:c r="R17" s="100" t="str">
        <x:v>2026-09-02</x:v>
      </x:c>
      <x:c r="S17" s="99" t="str">
        <x:v>https://linkbuildingmastery.com/</x:v>
      </x:c>
    </x:row>
    <x:row r="18" ht="66" customHeight="1">
      <x:c r="A18" s="98" t="str">
        <x:v>B-重点培育</x:v>
      </x:c>
      <x:c r="B18" s="97" t="str">
        <x:v>SEO-Day</x:v>
      </x:c>
      <x:c r="C18" s="97" t="str">
        <x:v>欧洲</x:v>
      </x:c>
      <x:c r="D18" s="97" t="str">
        <x:v>德国 / 科隆</x:v>
      </x:c>
      <x:c r="E18" s="97" t="str">
        <x:v>2026-11-19</x:v>
      </x:c>
      <x:c r="F18" s="97" t="str">
        <x:v>可直接联系</x:v>
      </x:c>
      <x:c r="G18" s="97" t="str">
        <x:v>Fabian Rossbacher / Team</x:v>
      </x:c>
      <x:c r="H18" s="97" t="str">
        <x:v>fabian.rossbacher@seo-day.de；info@seo-day.de</x:v>
      </x:c>
      <x:c r="I18" s="99" t="str">
        <x:v>https://www.seo-day.de/</x:v>
      </x:c>
      <x:c r="J18" s="99" t="str">
        <x:v>https://www.seo-day.de/</x:v>
      </x:c>
      <x:c r="K18" s="97" t="str">
        <x:v>520+ 参会者；30+ 演讲者；德语市场</x:v>
      </x:c>
      <x:c r="L18" s="97" t="str">
        <x:v>DACH 渠道拓展、德语案例、展位/演讲</x:v>
      </x:c>
      <x:c r="M18" s="97" t="str">
        <x:v>用德英双语邮件；询问 Sponsor-Paket、参会公司类型和德语内容要求</x:v>
      </x:c>
      <x:c r="N18" s="97" t="str">
        <x:v>未联系</x:v>
      </x:c>
      <x:c r="O18" s="97" t="str"/>
      <x:c r="P18" s="97" t="str"/>
      <x:c r="Q18" s="97" t="str"/>
      <x:c r="R18" s="100" t="str">
        <x:v>2026-09-02</x:v>
      </x:c>
      <x:c r="S18" s="99" t="str">
        <x:v>https://www.seo-day.de/</x:v>
      </x:c>
    </x:row>
    <x:row r="19" ht="66" customHeight="1">
      <x:c r="A19" s="98" t="str">
        <x:v>B-重点培育</x:v>
      </x:c>
      <x:c r="B19" s="97" t="str">
        <x:v>SEOkomm</x:v>
      </x:c>
      <x:c r="C19" s="97" t="str">
        <x:v>欧洲</x:v>
      </x:c>
      <x:c r="D19" s="97" t="str">
        <x:v>奥地利 / Salzburg</x:v>
      </x:c>
      <x:c r="E19" s="97" t="str">
        <x:v>2026-11-27</x:v>
      </x:c>
      <x:c r="F19" s="97" t="str">
        <x:v>可直接联系</x:v>
      </x:c>
      <x:c r="G19" s="97" t="str">
        <x:v>Next Experts</x:v>
      </x:c>
      <x:c r="H19" s="97" t="str">
        <x:v>sponsor@nextexperts.at；+43 6235 21501</x:v>
      </x:c>
      <x:c r="I19" s="99" t="str">
        <x:v>https://www.onlineexpertdays.com/seokomm/</x:v>
      </x:c>
      <x:c r="J19" s="99" t="str">
        <x:v>https://www.onlineexpertdays.com/seokomm/</x:v>
      </x:c>
      <x:c r="K19" s="97" t="str">
        <x:v>DACH SEO 社群；德语为主</x:v>
      </x:c>
      <x:c r="L19" s="97" t="str">
        <x:v>DACH 本地化、渠道合作、德语 workshop</x:v>
      </x:c>
      <x:c r="M19" s="97" t="str">
        <x:v>邮件索取 2026 sponsor deck；确认现场语言与区域客户占比</x:v>
      </x:c>
      <x:c r="N19" s="97" t="str">
        <x:v>未联系</x:v>
      </x:c>
      <x:c r="O19" s="97" t="str"/>
      <x:c r="P19" s="97" t="str"/>
      <x:c r="Q19" s="97" t="str"/>
      <x:c r="R19" s="100" t="str">
        <x:v>2026-09-02</x:v>
      </x:c>
      <x:c r="S19" s="99" t="str">
        <x:v>https://www.onlineexpertdays.com/seokomm/</x:v>
      </x:c>
    </x:row>
    <x:row r="20" ht="66" customHeight="1">
      <x:c r="A20" s="98" t="str">
        <x:v>A-立即联系</x:v>
      </x:c>
      <x:c r="B20" s="97" t="str">
        <x:v>FOUND Conference Tokyo</x:v>
      </x:c>
      <x:c r="C20" s="97" t="str">
        <x:v>亚太</x:v>
      </x:c>
      <x:c r="D20" s="97" t="str">
        <x:v>日本 / 东京</x:v>
      </x:c>
      <x:c r="E20" s="97" t="str">
        <x:v>2027-02-18—19</x:v>
      </x:c>
      <x:c r="F20" s="97" t="str">
        <x:v>招募 Sponsor/Media/Community</x:v>
      </x:c>
      <x:c r="G20" s="97" t="str">
        <x:v>DemandSphere Japan</x:v>
      </x:c>
      <x:c r="H20" s="97" t="str">
        <x:v>support-jp@demandsphere.com</x:v>
      </x:c>
      <x:c r="I20" s="99" t="str">
        <x:v>https://foundconf.com/2027-tokyo/</x:v>
      </x:c>
      <x:c r="J20" s="99" t="str">
        <x:v>https://foundconf.com/2027-tokyo/</x:v>
      </x:c>
      <x:c r="K20" s="97" t="str">
        <x:v>Search、AI、Digital Marketing；日本本地与国际品牌</x:v>
      </x:c>
      <x:c r="L20" s="97" t="str">
        <x:v>日本市场联合研究、日英双语内容、社区伙伴</x:v>
      </x:c>
      <x:c r="M20" s="97" t="str">
        <x:v>现在发日英双语邮件；索要 sponsor/community/media 三类权益和截止期</x:v>
      </x:c>
      <x:c r="N20" s="97" t="str">
        <x:v>未联系</x:v>
      </x:c>
      <x:c r="O20" s="97" t="str"/>
      <x:c r="P20" s="97" t="str"/>
      <x:c r="Q20" s="97" t="str"/>
      <x:c r="R20" s="100" t="str">
        <x:v>2026-09-02</x:v>
      </x:c>
      <x:c r="S20" s="99" t="str">
        <x:v>https://foundconf.com/2027-tokyo/</x:v>
      </x:c>
    </x:row>
    <x:row r="21" ht="66" customHeight="1">
      <x:c r="A21" s="98" t="str">
        <x:v>A-立即联系</x:v>
      </x:c>
      <x:c r="B21" s="97" t="str">
        <x:v>Search Marketing Summit Australia</x:v>
      </x:c>
      <x:c r="C21" s="97" t="str">
        <x:v>亚太</x:v>
      </x:c>
      <x:c r="D21" s="97" t="str">
        <x:v>澳大利亚 / 悉尼</x:v>
      </x:c>
      <x:c r="E21" s="97" t="str">
        <x:v>2027-02-23—26</x:v>
      </x:c>
      <x:c r="F21" s="97" t="str">
        <x:v>2027 已开放</x:v>
      </x:c>
      <x:c r="G21" s="97" t="str">
        <x:v>No Drama Media</x:v>
      </x:c>
      <x:c r="H21" s="97" t="str">
        <x:v>marketing@searchmarketingsummit.com.au；+61 403 060 209</x:v>
      </x:c>
      <x:c r="I21" s="99" t="str">
        <x:v>https://www.searchmarketingsummit.com.au/</x:v>
      </x:c>
      <x:c r="J21" s="99" t="str">
        <x:v>https://www.searchmarketingsummit.com.au/</x:v>
      </x:c>
      <x:c r="K21" s="97" t="str">
        <x:v>澳洲运营 20 年的搜索大会；SEO/GEO/AI/PPC</x:v>
      </x:c>
      <x:c r="L21" s="97" t="str">
        <x:v>澳新市场案例、Workshop、企业买家触达</x:v>
      </x:c>
      <x:c r="M21" s="97" t="str">
        <x:v>直接问 sponsorship/partnership；若提案演讲，另发 speakers@searchmarketingsummit.com.au</x:v>
      </x:c>
      <x:c r="N21" s="97" t="str">
        <x:v>未联系</x:v>
      </x:c>
      <x:c r="O21" s="97" t="str"/>
      <x:c r="P21" s="97" t="str"/>
      <x:c r="Q21" s="97" t="str"/>
      <x:c r="R21" s="100" t="str">
        <x:v>2026-09-02</x:v>
      </x:c>
      <x:c r="S21" s="99" t="str">
        <x:v>https://www.searchmarketingsummit.com.au/</x:v>
      </x:c>
    </x:row>
    <x:row r="22" ht="66" customHeight="1">
      <x:c r="A22" s="98" t="str">
        <x:v>A-立即联系</x:v>
      </x:c>
      <x:c r="B22" s="97" t="str">
        <x:v>Sydney SEO Conference</x:v>
      </x:c>
      <x:c r="C22" s="97" t="str">
        <x:v>亚太</x:v>
      </x:c>
      <x:c r="D22" s="97" t="str">
        <x:v>澳大利亚 / 悉尼</x:v>
      </x:c>
      <x:c r="E22" s="97" t="str">
        <x:v>2027-03-11—12</x:v>
      </x:c>
      <x:c r="F22" s="97" t="str">
        <x:v>Sponsor 申请开放</x:v>
      </x:c>
      <x:c r="G22" s="97" t="str">
        <x:v>Prosperity Media</x:v>
      </x:c>
      <x:c r="H22" s="97" t="str">
        <x:v>hello@prosperitymedia.com.au</x:v>
      </x:c>
      <x:c r="I22" s="99" t="str">
        <x:v>https://prosperitymedia.com.au/sydney-seo-conference/</x:v>
      </x:c>
      <x:c r="J22" s="99" t="str">
        <x:v>https://prosperitymedia.com.au/sydney-seo-conference/</x:v>
      </x:c>
      <x:c r="K22" s="97" t="str">
        <x:v>约 300 人；SEO、增长、Digital PR、联盟、电商</x:v>
      </x:c>
      <x:c r="L22" s="97" t="str">
        <x:v>精品展位、Mastermind、慈善联名、案例分享</x:v>
      </x:c>
      <x:c r="M22" s="97" t="str">
        <x:v>官网申请 + 邮件；询问 sponsor inventory、Mastermind 参与权益和 lead capture</x:v>
      </x:c>
      <x:c r="N22" s="97" t="str">
        <x:v>未联系</x:v>
      </x:c>
      <x:c r="O22" s="97" t="str"/>
      <x:c r="P22" s="97" t="str"/>
      <x:c r="Q22" s="97" t="str"/>
      <x:c r="R22" s="100" t="str">
        <x:v>2026-09-02</x:v>
      </x:c>
      <x:c r="S22" s="99" t="str">
        <x:v>https://prosperitymedia.com.au/sydney-seo-conference/</x:v>
      </x:c>
    </x:row>
    <x:row r="23" ht="66" customHeight="1">
      <x:c r="A23" s="98" t="str">
        <x:v>B-重点培育</x:v>
      </x:c>
      <x:c r="B23" s="97" t="str">
        <x:v>WTSFest London</x:v>
      </x:c>
      <x:c r="C23" s="97" t="str">
        <x:v>欧洲</x:v>
      </x:c>
      <x:c r="D23" s="97" t="str">
        <x:v>英国 / 伦敦</x:v>
      </x:c>
      <x:c r="E23" s="97" t="str">
        <x:v>2027-03-19</x:v>
      </x:c>
      <x:c r="F23" s="97" t="str">
        <x:v>Partner 方案可咨询</x:v>
      </x:c>
      <x:c r="G23" s="97" t="str">
        <x:v>Women in Tech SEO</x:v>
      </x:c>
      <x:c r="H23" s="97" t="str">
        <x:v>contact@womenintechseo.com</x:v>
      </x:c>
      <x:c r="I23" s="99" t="str">
        <x:v>https://www.womenintechseo.com/partners/</x:v>
      </x:c>
      <x:c r="J23" s="99" t="str">
        <x:v>https://www.womenintechseo.com/conference/london/</x:v>
      </x:c>
      <x:c r="K23" s="97" t="str">
        <x:v>女性及边缘性别的技术 SEO 社群；强社区影响力</x:v>
      </x:c>
      <x:c r="L23" s="97" t="str">
        <x:v>奖学金、社区/Newsletter、职业发展、无障碍支持</x:v>
      </x:c>
      <x:c r="M23" s="97" t="str">
        <x:v>以长期社区投入为主线；先确认品牌价值观匹配和 partner tier</x:v>
      </x:c>
      <x:c r="N23" s="97" t="str">
        <x:v>未联系</x:v>
      </x:c>
      <x:c r="O23" s="97" t="str"/>
      <x:c r="P23" s="97" t="str"/>
      <x:c r="Q23" s="97" t="str"/>
      <x:c r="R23" s="100" t="str">
        <x:v>2026-09-02</x:v>
      </x:c>
      <x:c r="S23" s="99" t="str">
        <x:v>https://www.womenintechseo.com/partners/</x:v>
      </x:c>
    </x:row>
    <x:row r="24" ht="66" customHeight="1">
      <x:c r="A24" s="98" t="str">
        <x:v>A-立即联系</x:v>
      </x:c>
      <x:c r="B24" s="97" t="str">
        <x:v>SERP Conf Sofia</x:v>
      </x:c>
      <x:c r="C24" s="97" t="str">
        <x:v>欧洲</x:v>
      </x:c>
      <x:c r="D24" s="97" t="str">
        <x:v>保加利亚 / Sofia</x:v>
      </x:c>
      <x:c r="E24" s="97" t="str">
        <x:v>2027-03-24—25</x:v>
      </x:c>
      <x:c r="F24" s="97" t="str">
        <x:v>2027 Sponsor 页面开放</x:v>
      </x:c>
      <x:c r="G24" s="97" t="str">
        <x:v>SERP Conf Team</x:v>
      </x:c>
      <x:c r="H24" s="97" t="str">
        <x:v>官网 Sponsor 表；info@serpconf.com（建议表单优先）</x:v>
      </x:c>
      <x:c r="I24" s="99" t="str">
        <x:v>https://serpconf.com/sofia/sponsor/</x:v>
      </x:c>
      <x:c r="J24" s="99" t="str">
        <x:v>https://serpconf.com/sofia/</x:v>
      </x:c>
      <x:c r="K24" s="97" t="str">
        <x:v>8 届累计 3,200+；东欧 SEO/SEM/电商人群</x:v>
      </x:c>
      <x:c r="L24" s="97" t="str">
        <x:v>东欧渠道、案例演讲、展位、招聘/社区</x:v>
      </x:c>
      <x:c r="M24" s="97" t="str">
        <x:v>先填 sponsor 表；邮件补充区域增长目标与可执行 activation</x:v>
      </x:c>
      <x:c r="N24" s="97" t="str">
        <x:v>未联系</x:v>
      </x:c>
      <x:c r="O24" s="97" t="str"/>
      <x:c r="P24" s="97" t="str"/>
      <x:c r="Q24" s="97" t="str"/>
      <x:c r="R24" s="100" t="str">
        <x:v>2026-09-02</x:v>
      </x:c>
      <x:c r="S24" s="99" t="str">
        <x:v>https://serpconf.com/sofia/sponsor/</x:v>
      </x:c>
    </x:row>
    <x:row r="25" ht="66" customHeight="1">
      <x:c r="A25" s="98" t="str">
        <x:v>B-重点培育</x:v>
      </x:c>
      <x:c r="B25" s="97" t="str">
        <x:v>SEO On Stage — Dubai</x:v>
      </x:c>
      <x:c r="C25" s="97" t="str">
        <x:v>中东</x:v>
      </x:c>
      <x:c r="D25" s="97" t="str">
        <x:v>阿联酋 / Dubai</x:v>
      </x:c>
      <x:c r="E25" s="97" t="str">
        <x:v>2027-03（日期待定）</x:v>
      </x:c>
      <x:c r="F25" s="97" t="str">
        <x:v>早期赞助窗口</x:v>
      </x:c>
      <x:c r="G25" s="97" t="str">
        <x:v>Black Lantern Marketing</x:v>
      </x:c>
      <x:c r="H25" s="97" t="str">
        <x:v>seo-on-stage@black-lantern.com</x:v>
      </x:c>
      <x:c r="I25" s="99" t="str">
        <x:v>https://seo-on-stage.com/</x:v>
      </x:c>
      <x:c r="J25" s="99" t="str">
        <x:v>https://seo-on-stage.com/</x:v>
      </x:c>
      <x:c r="K25" s="97" t="str">
        <x:v>首届三城系列中东场；搜索、内容、营销</x:v>
      </x:c>
      <x:c r="L25" s="97" t="str">
        <x:v>MENA 首发、创始赞助、VIP dinner、舞台内容</x:v>
      </x:c>
      <x:c r="M25" s="97" t="str">
        <x:v>与 Athens/Prague 打包谈三城或类别独家；要求 Dubai 受众预测</x:v>
      </x:c>
      <x:c r="N25" s="97" t="str">
        <x:v>未联系</x:v>
      </x:c>
      <x:c r="O25" s="97" t="str"/>
      <x:c r="P25" s="97" t="str"/>
      <x:c r="Q25" s="97" t="str"/>
      <x:c r="R25" s="100" t="str">
        <x:v>2026-09-02</x:v>
      </x:c>
      <x:c r="S25" s="99" t="str">
        <x:v>https://seo-on-stage.com/</x:v>
      </x:c>
    </x:row>
    <x:row r="26" ht="66" customHeight="1">
      <x:c r="A26" s="98" t="str">
        <x:v>A-立即联系</x:v>
      </x:c>
      <x:c r="B26" s="97" t="str">
        <x:v>SMX Munich</x:v>
      </x:c>
      <x:c r="C26" s="97" t="str">
        <x:v>欧洲</x:v>
      </x:c>
      <x:c r="D26" s="97" t="str">
        <x:v>德国 / Munich</x:v>
      </x:c>
      <x:c r="E26" s="97" t="str">
        <x:v>2027-04-06—07</x:v>
      </x:c>
      <x:c r="F26" s="97" t="str">
        <x:v>Partner 咨询开放</x:v>
      </x:c>
      <x:c r="G26" s="97" t="str">
        <x:v>Sandra Finlay / Rising Media</x:v>
      </x:c>
      <x:c r="H26" s="97" t="str">
        <x:v>exhibit@risingmedia.com；+49 (0)8151 556 6045</x:v>
      </x:c>
      <x:c r="I26" s="99" t="str">
        <x:v>https://smxmuenchen.de/en/partners/</x:v>
      </x:c>
      <x:c r="J26" s="99" t="str">
        <x:v>https://smxmuenchen.de/en/</x:v>
      </x:c>
      <x:c r="K26" s="97" t="str">
        <x:v>大型 DACH 搜索营销大会；企业、代理商、技术团队</x:v>
      </x:c>
      <x:c r="L26" s="97" t="str">
        <x:v>DACH 线索、闭门圆桌、德语内容、展位</x:v>
      </x:c>
      <x:c r="M26" s="97" t="str">
        <x:v>与 SMX Advanced Europe 一并询问跨场打包和复购优惠</x:v>
      </x:c>
      <x:c r="N26" s="97" t="str">
        <x:v>未联系</x:v>
      </x:c>
      <x:c r="O26" s="97" t="str"/>
      <x:c r="P26" s="97" t="str"/>
      <x:c r="Q26" s="97" t="str"/>
      <x:c r="R26" s="100" t="str">
        <x:v>2026-09-02</x:v>
      </x:c>
      <x:c r="S26" s="99" t="str">
        <x:v>https://smxmuenchen.de/en/partners/</x:v>
      </x:c>
    </x:row>
    <x:row r="27" ht="66" customHeight="1">
      <x:c r="A27" s="98" t="str">
        <x:v>A-立即联系</x:v>
      </x:c>
      <x:c r="B27" s="97" t="str">
        <x:v>Ahrefs Evolve Singapore</x:v>
      </x:c>
      <x:c r="C27" s="97" t="str">
        <x:v>亚太</x:v>
      </x:c>
      <x:c r="D27" s="97" t="str">
        <x:v>新加坡</x:v>
      </x:c>
      <x:c r="E27" s="97" t="str">
        <x:v>2027-04-14—15</x:v>
      </x:c>
      <x:c r="F27" s="97" t="str">
        <x:v>2027 已公布；可提早联系</x:v>
      </x:c>
      <x:c r="G27" s="97" t="str">
        <x:v>Ahrefs Events</x:v>
      </x:c>
      <x:c r="H27" s="97" t="str">
        <x:v>events@ahrefs.com；官网 Sponsor 表</x:v>
      </x:c>
      <x:c r="I27" s="99" t="str">
        <x:v>https://ahrefsevolve.com/singapore/</x:v>
      </x:c>
      <x:c r="J27" s="99" t="str">
        <x:v>https://ahrefsevolve.com/singapore/</x:v>
      </x:c>
      <x:c r="K27" s="97" t="str">
        <x:v>亚太国际 SEO/内容营销从业者；Ahrefs 核心社群</x:v>
      </x:c>
      <x:c r="L27" s="97" t="str">
        <x:v>联合研究、数据内容、技术 workshop、区域市场</x:v>
      </x:c>
      <x:c r="M27" s="97" t="str">
        <x:v>邮件 + Sponsor 表；提前问 2027 inventory、非竞品限制和内容合作</x:v>
      </x:c>
      <x:c r="N27" s="97" t="str">
        <x:v>未联系</x:v>
      </x:c>
      <x:c r="O27" s="97" t="str"/>
      <x:c r="P27" s="97" t="str"/>
      <x:c r="Q27" s="97" t="str"/>
      <x:c r="R27" s="100" t="str">
        <x:v>2026-09-02</x:v>
      </x:c>
      <x:c r="S27" s="99" t="str">
        <x:v>https://ahrefsevolve.com/singapore/</x:v>
      </x:c>
    </x:row>
    <x:row r="28" ht="66" customHeight="1">
      <x:c r="A28" s="98" t="str">
        <x:v>B-重点培育</x:v>
      </x:c>
      <x:c r="B28" s="97" t="str">
        <x:v>Phuket AI Marketing Summit</x:v>
      </x:c>
      <x:c r="C28" s="97" t="str">
        <x:v>亚太</x:v>
      </x:c>
      <x:c r="D28" s="97" t="str">
        <x:v>泰国 / Phuket</x:v>
      </x:c>
      <x:c r="E28" s="97" t="str">
        <x:v>2027-04-22—24</x:v>
      </x:c>
      <x:c r="F28" s="97" t="str">
        <x:v>赞助入口开放</x:v>
      </x:c>
      <x:c r="G28" s="97" t="str">
        <x:v>Summit Team</x:v>
      </x:c>
      <x:c r="H28" s="97" t="str">
        <x:v>support@phuketsummit.com</x:v>
      </x:c>
      <x:c r="I28" s="99" t="str">
        <x:v>https://phuketsummit.com/</x:v>
      </x:c>
      <x:c r="J28" s="99" t="str">
        <x:v>https://phuketsummit.com/</x:v>
      </x:c>
      <x:c r="K28" s="97" t="str">
        <x:v>预计 300+；AI Marketing、SEO、创业者</x:v>
      </x:c>
      <x:c r="L28" s="97" t="str">
        <x:v>AI Search 产品体验、Workshop、创始人网络</x:v>
      </x:c>
      <x:c r="M28" s="97" t="str">
        <x:v>先确认受众中 SEO/Agency/Founder 比例，再决定赞助层级</x:v>
      </x:c>
      <x:c r="N28" s="97" t="str">
        <x:v>未联系</x:v>
      </x:c>
      <x:c r="O28" s="97" t="str"/>
      <x:c r="P28" s="97" t="str"/>
      <x:c r="Q28" s="97" t="str"/>
      <x:c r="R28" s="100" t="str">
        <x:v>2026-09-02</x:v>
      </x:c>
      <x:c r="S28" s="99" t="str">
        <x:v>https://phuketsummit.com/</x:v>
      </x:c>
    </x:row>
    <x:row r="29" ht="66" customHeight="1">
      <x:c r="A29" s="98" t="str">
        <x:v>A-立即联系</x:v>
      </x:c>
      <x:c r="B29" s="97" t="str">
        <x:v>International Search Summit Barcelona</x:v>
      </x:c>
      <x:c r="C29" s="97" t="str">
        <x:v>欧洲</x:v>
      </x:c>
      <x:c r="D29" s="97" t="str">
        <x:v>西班牙 / Barcelona</x:v>
      </x:c>
      <x:c r="E29" s="97" t="str">
        <x:v>2027-05-13</x:v>
      </x:c>
      <x:c r="F29" s="97" t="str">
        <x:v>Request details 开放</x:v>
      </x:c>
      <x:c r="G29" s="97" t="str">
        <x:v>TransPerfect Digital</x:v>
      </x:c>
      <x:c r="H29" s="97" t="str">
        <x:v>官网 Request Details 表</x:v>
      </x:c>
      <x:c r="I29" s="99" t="str">
        <x:v>https://www.transperfectdigital.com/events/international-search-summit-barcelona/</x:v>
      </x:c>
      <x:c r="J29" s="99" t="str">
        <x:v>https://www.transperfectdigital.com/events/international-search-summit-barcelona/</x:v>
      </x:c>
      <x:c r="K29" s="97" t="str">
        <x:v>国际化、多语言 SEO/SEM；跨国品牌与机构</x:v>
      </x:c>
      <x:c r="L29" s="97" t="str">
        <x:v>多语言案例、国际 SEO 数据、市场进入方案</x:v>
      </x:c>
      <x:c r="M29" s="97" t="str">
        <x:v>提交 sponsor/media partner 表；突出跨语言/跨市场价值，不只谈流量</x:v>
      </x:c>
      <x:c r="N29" s="97" t="str">
        <x:v>未联系</x:v>
      </x:c>
      <x:c r="O29" s="97" t="str"/>
      <x:c r="P29" s="97" t="str"/>
      <x:c r="Q29" s="97" t="str"/>
      <x:c r="R29" s="100" t="str">
        <x:v>2026-09-02</x:v>
      </x:c>
      <x:c r="S29" s="99" t="str">
        <x:v>https://www.transperfectdigital.com/events/international-search-summit-barcelona/</x:v>
      </x:c>
    </x:row>
    <x:row r="30" ht="66" customHeight="1">
      <x:c r="A30" s="98" t="str">
        <x:v>B-重点培育</x:v>
      </x:c>
      <x:c r="B30" s="97" t="str">
        <x:v>SEO On Stage — Prague</x:v>
      </x:c>
      <x:c r="C30" s="97" t="str">
        <x:v>欧洲</x:v>
      </x:c>
      <x:c r="D30" s="97" t="str">
        <x:v>捷克 / Prague</x:v>
      </x:c>
      <x:c r="E30" s="97" t="str">
        <x:v>2027-06-01—03</x:v>
      </x:c>
      <x:c r="F30" s="97" t="str">
        <x:v>早期赞助窗口</x:v>
      </x:c>
      <x:c r="G30" s="97" t="str">
        <x:v>Black Lantern Marketing</x:v>
      </x:c>
      <x:c r="H30" s="97" t="str">
        <x:v>seo-on-stage@black-lantern.com</x:v>
      </x:c>
      <x:c r="I30" s="99" t="str">
        <x:v>https://seo-on-stage.com/</x:v>
      </x:c>
      <x:c r="J30" s="99" t="str">
        <x:v>https://seo-on-stage.com/</x:v>
      </x:c>
      <x:c r="K30" s="97" t="str">
        <x:v>三城系列中欧收官场；精品体验型活动</x:v>
      </x:c>
      <x:c r="L30" s="97" t="str">
        <x:v>三城联名、品牌体验、内容录制、VIP dinner</x:v>
      </x:c>
      <x:c r="M30" s="97" t="str">
        <x:v>和 Athens/Dubai 统一谈套餐；要求每城预计规模与权益交付节奏</x:v>
      </x:c>
      <x:c r="N30" s="97" t="str">
        <x:v>未联系</x:v>
      </x:c>
      <x:c r="O30" s="97" t="str"/>
      <x:c r="P30" s="97" t="str"/>
      <x:c r="Q30" s="97" t="str"/>
      <x:c r="R30" s="100" t="str">
        <x:v>2026-09-02</x:v>
      </x:c>
      <x:c r="S30" s="99" t="str">
        <x:v>https://seo-on-stage.com/</x:v>
      </x:c>
    </x:row>
    <x:row r="31" ht="66" customHeight="1">
      <x:c r="A31" s="98" t="str">
        <x:v>B-重点培育</x:v>
      </x:c>
      <x:c r="B31" s="97" t="str">
        <x:v>Croatia SEO Summit</x:v>
      </x:c>
      <x:c r="C31" s="97" t="str">
        <x:v>欧洲</x:v>
      </x:c>
      <x:c r="D31" s="97" t="str">
        <x:v>克罗地亚 / Šibenik</x:v>
      </x:c>
      <x:c r="E31" s="97" t="str">
        <x:v>2027-06-14—16</x:v>
      </x:c>
      <x:c r="F31" s="97" t="str">
        <x:v>Sponsor 咨询开放</x:v>
      </x:c>
      <x:c r="G31" s="97" t="str">
        <x:v>Canonical.hr</x:v>
      </x:c>
      <x:c r="H31" s="97" t="str">
        <x:v>info@canonical.hr</x:v>
      </x:c>
      <x:c r="I31" s="99" t="str">
        <x:v>https://croatiaseosummit.com/become-a-sponsor/</x:v>
      </x:c>
      <x:c r="J31" s="99" t="str">
        <x:v>https://croatiaseosummit.com/</x:v>
      </x:c>
      <x:c r="K31" s="97" t="str">
        <x:v>约 180 名资深 SEO Operator；精品深度交流</x:v>
      </x:c>
      <x:c r="L31" s="97" t="str">
        <x:v>专家 workshop、闭门交流、产品反馈小组</x:v>
      </x:c>
      <x:c r="M31" s="97" t="str">
        <x:v>强调高质量对话与产品共创；不以单纯曝光为 KPI</x:v>
      </x:c>
      <x:c r="N31" s="97" t="str">
        <x:v>未联系</x:v>
      </x:c>
      <x:c r="O31" s="97" t="str"/>
      <x:c r="P31" s="97" t="str"/>
      <x:c r="Q31" s="97" t="str"/>
      <x:c r="R31" s="100" t="str">
        <x:v>2026-09-02</x:v>
      </x:c>
      <x:c r="S31" s="99" t="str">
        <x:v>https://croatiaseosummit.com/become-a-sponsor/</x:v>
      </x:c>
    </x:row>
    <x:row r="32" ht="66" customHeight="1">
      <x:c r="A32" s="98" t="str">
        <x:v>B-重点培育</x:v>
      </x:c>
      <x:c r="B32" s="97" t="str">
        <x:v>The Masterminders</x:v>
      </x:c>
      <x:c r="C32" s="97" t="str">
        <x:v>欧洲</x:v>
      </x:c>
      <x:c r="D32" s="97" t="str">
        <x:v>英国 / Manchester</x:v>
      </x:c>
      <x:c r="E32" s="97" t="str">
        <x:v>2027-06（日期待定）</x:v>
      </x:c>
      <x:c r="F32" s="97" t="str">
        <x:v>可咨询 2027</x:v>
      </x:c>
      <x:c r="G32" s="97" t="str">
        <x:v>The Masterminders Team</x:v>
      </x:c>
      <x:c r="H32" s="97" t="str">
        <x:v>info@themasterminders.com</x:v>
      </x:c>
      <x:c r="I32" s="99" t="str">
        <x:v>https://themasterminders.com/pages/sponsors</x:v>
      </x:c>
      <x:c r="J32" s="99" t="str">
        <x:v>https://themasterminders.com/</x:v>
      </x:c>
      <x:c r="K32" s="97" t="str">
        <x:v>250+；约 75% 有购买决策/影响力；联盟、外链、代理商</x:v>
      </x:c>
      <x:c r="L32" s="97" t="str">
        <x:v>高触达精品赞助、Mastermind、晚宴、产品反馈</x:v>
      </x:c>
      <x:c r="M32" s="97" t="str">
        <x:v>邮件强调受众匹配；准备说明为什么品牌适合其选择性赞助体系</x:v>
      </x:c>
      <x:c r="N32" s="97" t="str">
        <x:v>未联系</x:v>
      </x:c>
      <x:c r="O32" s="97" t="str"/>
      <x:c r="P32" s="97" t="str"/>
      <x:c r="Q32" s="97" t="str"/>
      <x:c r="R32" s="100" t="str">
        <x:v>2026-09-02</x:v>
      </x:c>
      <x:c r="S32" s="99" t="str">
        <x:v>https://themasterminders.com/pages/sponsors</x:v>
      </x:c>
    </x:row>
    <x:row r="33" ht="66" customHeight="1">
      <x:c r="A33" s="98" t="str">
        <x:v>B-重点培育</x:v>
      </x:c>
      <x:c r="B33" s="97" t="str">
        <x:v>Friends of Search</x:v>
      </x:c>
      <x:c r="C33" s="97" t="str">
        <x:v>欧洲</x:v>
      </x:c>
      <x:c r="D33" s="97" t="str">
        <x:v>荷兰 / Amsterdam</x:v>
      </x:c>
      <x:c r="E33" s="97" t="str">
        <x:v>2027 待发布（上一届 2026-03-12）</x:v>
      </x:c>
      <x:c r="F33" s="97" t="str">
        <x:v>提前锁定下一届</x:v>
      </x:c>
      <x:c r="G33" s="97" t="str">
        <x:v>DDMA Sponsorship</x:v>
      </x:c>
      <x:c r="H33" s="97" t="str">
        <x:v>sponsoring@ddma.nl</x:v>
      </x:c>
      <x:c r="I33" s="99" t="str">
        <x:v>https://friendsofsearch.com/</x:v>
      </x:c>
      <x:c r="J33" s="99" t="str">
        <x:v>https://friendsofsearch.com/</x:v>
      </x:c>
      <x:c r="K33" s="97" t="str">
        <x:v>700+ 访客；荷比卢 SEO/PPC 社群</x:v>
      </x:c>
      <x:c r="L33" s="97" t="str">
        <x:v>Benelux 市场、案例内容、展位、会员/社区</x:v>
      </x:c>
      <x:c r="M33" s="97" t="str">
        <x:v>现在发 interest email，要求加入 2027 sponsor release list</x:v>
      </x:c>
      <x:c r="N33" s="97" t="str">
        <x:v>未联系</x:v>
      </x:c>
      <x:c r="O33" s="97" t="str"/>
      <x:c r="P33" s="97" t="str"/>
      <x:c r="Q33" s="97" t="str"/>
      <x:c r="R33" s="100" t="str">
        <x:v>2026-09-02</x:v>
      </x:c>
      <x:c r="S33" s="99" t="str">
        <x:v>https://friendsofsearch.com/</x:v>
      </x:c>
    </x:row>
    <x:row r="34" ht="66" customHeight="1">
      <x:c r="A34" s="98" t="str">
        <x:v>B-重点培育</x:v>
      </x:c>
      <x:c r="B34" s="97" t="str">
        <x:v>SEO Estonia</x:v>
      </x:c>
      <x:c r="C34" s="97" t="str">
        <x:v>欧洲</x:v>
      </x:c>
      <x:c r="D34" s="97" t="str">
        <x:v>爱沙尼亚 / Tallinn</x:v>
      </x:c>
      <x:c r="E34" s="97" t="str">
        <x:v>2027 待发布（上一届 2026-07-09—11）</x:v>
      </x:c>
      <x:c r="F34" s="97" t="str">
        <x:v>下一届待发布</x:v>
      </x:c>
      <x:c r="G34" s="97" t="str">
        <x:v>SEO Estonia Team</x:v>
      </x:c>
      <x:c r="H34" s="97" t="str">
        <x:v>support@seoestonia.com</x:v>
      </x:c>
      <x:c r="I34" s="99" t="str">
        <x:v>https://seoestonia.com/</x:v>
      </x:c>
      <x:c r="J34" s="99" t="str">
        <x:v>https://seoestonia.com/</x:v>
      </x:c>
      <x:c r="K34" s="97" t="str">
        <x:v>精品高级 SEO、联盟、Agency/Operator 人群</x:v>
      </x:c>
      <x:c r="L34" s="97" t="str">
        <x:v>工具实测、联盟/技术案例、Mastermind</x:v>
      </x:c>
      <x:c r="M34" s="97" t="str">
        <x:v>联系团队加入 2027 priority list；先问往届 sponsor renewal 时间</x:v>
      </x:c>
      <x:c r="N34" s="97" t="str">
        <x:v>未联系</x:v>
      </x:c>
      <x:c r="O34" s="97" t="str"/>
      <x:c r="P34" s="97" t="str"/>
      <x:c r="Q34" s="97" t="str"/>
      <x:c r="R34" s="100" t="str">
        <x:v>2026-09-02</x:v>
      </x:c>
      <x:c r="S34" s="99" t="str">
        <x:v>https://seoestonia.com/</x:v>
      </x:c>
    </x:row>
    <x:row r="35" ht="66" customHeight="1">
      <x:c r="A35" s="98" t="str">
        <x:v>B-重点培育</x:v>
      </x:c>
      <x:c r="B35" s="97" t="str">
        <x:v>SEO Vibes Summit</x:v>
      </x:c>
      <x:c r="C35" s="97" t="str">
        <x:v>欧洲</x:v>
      </x:c>
      <x:c r="D35" s="97" t="str">
        <x:v>波兰 / Zakopane</x:v>
      </x:c>
      <x:c r="E35" s="97" t="str">
        <x:v>2027 待发布（上一届 2026-05-20—22）</x:v>
      </x:c>
      <x:c r="F35" s="97" t="str">
        <x:v>巡回/下一届待发布</x:v>
      </x:c>
      <x:c r="G35" s="97" t="str">
        <x:v>Aleksandra Smętkiewicz / WhitePress</x:v>
      </x:c>
      <x:c r="H35" s="97" t="str">
        <x:v>aleksandra.smetkiewicz@whitepress.com；seovibes@whitepress.com</x:v>
      </x:c>
      <x:c r="I35" s="99" t="str">
        <x:v>https://www.whitepress.com/en/seo-vibes-summit</x:v>
      </x:c>
      <x:c r="J35" s="99" t="str">
        <x:v>https://www.whitepress.com/en/seo-vibes-summit</x:v>
      </x:c>
      <x:c r="K35" s="97" t="str">
        <x:v>国际 SEO 社群；品牌在多国运营 On Tour 系列</x:v>
      </x:c>
      <x:c r="L35" s="97" t="str">
        <x:v>多市场巡回合作、媒体伙伴、内容/晚宴</x:v>
      </x:c>
      <x:c r="M35" s="97" t="str">
        <x:v>询问 2027 Summit + On Tour 全年日历，争取多站组合价</x:v>
      </x:c>
      <x:c r="N35" s="97" t="str">
        <x:v>未联系</x:v>
      </x:c>
      <x:c r="O35" s="97" t="str"/>
      <x:c r="P35" s="97" t="str"/>
      <x:c r="Q35" s="97" t="str"/>
      <x:c r="R35" s="100" t="str">
        <x:v>2026-09-02</x:v>
      </x:c>
      <x:c r="S35" s="99" t="str">
        <x:v>https://www.whitepress.com/en/seo-vibes-summit</x:v>
      </x:c>
    </x:row>
    <x:row r="36" ht="66" customHeight="1">
      <x:c r="A36" s="98" t="str">
        <x:v>A-立即联系</x:v>
      </x:c>
      <x:c r="B36" s="97" t="str">
        <x:v>SEO Mastery Summit Saigon</x:v>
      </x:c>
      <x:c r="C36" s="97" t="str">
        <x:v>亚太</x:v>
      </x:c>
      <x:c r="D36" s="97" t="str">
        <x:v>越南 / Ho Chi Minh City</x:v>
      </x:c>
      <x:c r="E36" s="97" t="str">
        <x:v>2027 待发布（上一届 2026-03-10—13）</x:v>
      </x:c>
      <x:c r="F36" s="97" t="str">
        <x:v>下一届预热窗口</x:v>
      </x:c>
      <x:c r="G36" s="97" t="str">
        <x:v>SEO Mastery Summit Team</x:v>
      </x:c>
      <x:c r="H36" s="97" t="str">
        <x:v>官网 Become Sponsor / Support 表</x:v>
      </x:c>
      <x:c r="I36" s="99" t="str">
        <x:v>https://seomasterysummit.com/sponsors/</x:v>
      </x:c>
      <x:c r="J36" s="99" t="str">
        <x:v>https://seomasterysummit.com/</x:v>
      </x:c>
      <x:c r="K36" s="97" t="str">
        <x:v>400+；SEO、AI、Agency、Founder、联盟营销</x:v>
      </x:c>
      <x:c r="L36" s="97" t="str">
        <x:v>产品演示、Agency playbook、VIP networking、联合案例</x:v>
      </x:c>
      <x:c r="M36" s="97" t="str">
        <x:v>通过 Sponsor 表抢 2027 waitlist；问受众构成、独家类别与续约节点</x:v>
      </x:c>
      <x:c r="N36" s="97" t="str">
        <x:v>未联系</x:v>
      </x:c>
      <x:c r="O36" s="97" t="str"/>
      <x:c r="P36" s="97" t="str"/>
      <x:c r="Q36" s="97" t="str"/>
      <x:c r="R36" s="100" t="str">
        <x:v>2026-09-02</x:v>
      </x:c>
      <x:c r="S36" s="99" t="str">
        <x:v>https://seomasterysummit.com/sponsors/</x:v>
      </x:c>
    </x:row>
    <x:row r="37" ht="66" customHeight="1">
      <x:c r="A37" s="98" t="str">
        <x:v>B-重点培育</x:v>
      </x:c>
      <x:c r="B37" s="97" t="str">
        <x:v>Search AfriCon</x:v>
      </x:c>
      <x:c r="C37" s="97" t="str">
        <x:v>非洲</x:v>
      </x:c>
      <x:c r="D37" s="97" t="str">
        <x:v>尼日利亚 / Lagos；肯尼亚场待定</x:v>
      </x:c>
      <x:c r="E37" s="97" t="str">
        <x:v>2026 Kenya 待发布；2027 待定</x:v>
      </x:c>
      <x:c r="F37" s="97" t="str">
        <x:v>Search AfriCon Team</x:v>
      </x:c>
      <x:c r="G37" s="97" t="str">
        <x:v>support@searchafricon.com</x:v>
      </x:c>
      <x:c r="H37" s="97" t="str">
        <x:v>https://searchafricon.com/be-a-sponsor-2/</x:v>
      </x:c>
      <x:c r="I37" s="99" t="str">
        <x:v>https://searchafricon.com/</x:v>
      </x:c>
      <x:c r="J37" s="99" t="str">
        <x:v>非洲搜索营销社群；2026 Lagos 约 250+</x:v>
      </x:c>
      <x:c r="K37" s="97" t="str">
        <x:v>非洲市场进入、人才/教育、奖学金、社区合作</x:v>
      </x:c>
      <x:c r="L37" s="97" t="str">
        <x:v>先确认 Kenya 场日期与赞助开放状态；以教育/生态投入切入</x:v>
      </x:c>
      <x:c r="M37" s="97" t="str">
        <x:v>未联系</x:v>
      </x:c>
      <x:c r="N37" s="97" t="str"/>
      <x:c r="O37" s="97" t="str"/>
      <x:c r="P37" s="97" t="str"/>
      <x:c r="Q37" s="97" t="str">
        <x:v>2026-09-02</x:v>
      </x:c>
      <x:c r="R37" s="100" t="str">
        <x:v>https://searchafricon.com/be-a-sponsor-2/</x:v>
      </x:c>
      <x:c r="S37" s="99"/>
    </x:row>
    <x:row r="38" ht="66" customHeight="1">
      <x:c r="A38" s="98" t="str">
        <x:v>B-重点培育</x:v>
      </x:c>
      <x:c r="B38" s="97" t="str">
        <x:v>SEOcamp Buenos Aires</x:v>
      </x:c>
      <x:c r="C38" s="97" t="str">
        <x:v>拉美</x:v>
      </x:c>
      <x:c r="D38" s="97" t="str">
        <x:v>阿根廷 / Buenos Aires</x:v>
      </x:c>
      <x:c r="E38" s="97" t="str">
        <x:v>2027 待发布（上一届 2026-03-12）</x:v>
      </x:c>
      <x:c r="F38" s="97" t="str">
        <x:v>下一届待发布</x:v>
      </x:c>
      <x:c r="G38" s="97" t="str">
        <x:v>Eleven Agency / SEOcamp</x:v>
      </x:c>
      <x:c r="H38" s="97" t="str">
        <x:v>官网 Sponsor 表</x:v>
      </x:c>
      <x:c r="I38" s="99" t="str">
        <x:v>https://eleven.agency/seocamp/</x:v>
      </x:c>
      <x:c r="J38" s="99" t="str">
        <x:v>https://eleven.agency/seocamp/</x:v>
      </x:c>
      <x:c r="K38" s="97" t="str">
        <x:v>西语 SEO 社群；拉美市场与本地从业者</x:v>
      </x:c>
      <x:c r="L38" s="97" t="str">
        <x:v>西语内容、区域渠道、奖学金、案例分享</x:v>
      </x:c>
      <x:c r="M38" s="97" t="str">
        <x:v>填 Sponsor 表并要求加入 2027 通知；准备西语版简介与案例</x:v>
      </x:c>
      <x:c r="N38" s="97" t="str">
        <x:v>未联系</x:v>
      </x:c>
      <x:c r="O38" s="97" t="str"/>
      <x:c r="P38" s="97" t="str"/>
      <x:c r="Q38" s="97" t="str"/>
      <x:c r="R38" s="100" t="str">
        <x:v>2026-09-02</x:v>
      </x:c>
      <x:c r="S38" s="99" t="str">
        <x:v>https://eleven.agency/seocamp/</x:v>
      </x:c>
    </x:row>
  </x:sheetData>
  <x:mergeCells>
    <x:mergeCell ref="A1:S2"/>
    <x:mergeCell ref="A3:S3"/>
  </x:mergeCells>
  <x:conditionalFormatting sqref="A6:A38">
    <x:cfRule type="containsText" dxfId="0" priority="1" operator="containsText" text="A-立即联系"/>
    <x:cfRule type="containsText" dxfId="1" priority="2" operator="containsText" text="B-重点培育"/>
  </x:conditionalFormatting>
  <x:conditionalFormatting sqref="N6:N38">
    <x:cfRule type="containsText" dxfId="2" priority="3" operator="containsText" text="已联系"/>
    <x:cfRule type="containsText" dxfId="3" priority="4" operator="containsText" text="跟进中"/>
    <x:cfRule type="containsText" dxfId="4" priority="5" operator="containsText" text="已成交"/>
  </x:conditionalFormatting>
  <x:dataValidations count="2">
    <x:dataValidation type="list" sqref="N6:N38">
      <x:formula1>"未联系,研究中,已联系,跟进中,谈判中,已成交,不适合"</x:formula1>
    </x:dataValidation>
    <x:dataValidation type="list" sqref="A6:A38">
      <x:formula1>"A-立即联系,B-重点培育,C-观察"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e9ae18af4ddf4dd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6" hidden="0" customWidth="1"/>
    <x:col min="3" max="3" width="26" hidden="0" customWidth="1"/>
    <x:col min="4" max="4" width="3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 ht="30" customHeight="1">
      <x:c r="A1" s="4" t="str">
        <x:v>Outreach Playbook — SEO Conference 主动联系模板</x:v>
      </x:c>
      <x:c r="B1" s="4" t="str">
        <x:v>Outreach Playbook — SEO Conference 主动联系模板</x:v>
      </x:c>
      <x:c r="C1" s="4" t="str">
        <x:v>Outreach Playbook — SEO Conference 主动联系模板</x:v>
      </x:c>
      <x:c r="D1" s="4" t="str">
        <x:v>Outreach Playbook — SEO Conference 主动联系模板</x:v>
      </x:c>
      <x:c r="E1" s="4" t="str">
        <x:v>Outreach Playbook — SEO Conference 主动联系模板</x:v>
      </x:c>
      <x:c r="F1" s="4" t="str">
        <x:v>Outreach Playbook — SEO Conference 主动联系模板</x:v>
      </x:c>
      <x:c r="G1" s="4" t="str">
        <x:v>Outreach Playbook — SEO Conference 主动联系模板</x:v>
      </x:c>
      <x:c r="H1" s="4" t="str">
        <x:v>Outreach Playbook — SEO Conference 主动联系模板</x:v>
      </x:c>
    </x:row>
    <x:row r="2" ht="30" customHeight="1">
      <x:c r="A2" s="4" t="str">
        <x:v>Outreach Playbook — SEO Conference 主动联系模板</x:v>
      </x:c>
      <x:c r="B2" s="4" t="str">
        <x:v>Outreach Playbook — SEO Conference 主动联系模板</x:v>
      </x:c>
      <x:c r="C2" s="4" t="str">
        <x:v>Outreach Playbook — SEO Conference 主动联系模板</x:v>
      </x:c>
      <x:c r="D2" s="4" t="str">
        <x:v>Outreach Playbook — SEO Conference 主动联系模板</x:v>
      </x:c>
      <x:c r="E2" s="4" t="str">
        <x:v>Outreach Playbook — SEO Conference 主动联系模板</x:v>
      </x:c>
      <x:c r="F2" s="4" t="str">
        <x:v>Outreach Playbook — SEO Conference 主动联系模板</x:v>
      </x:c>
      <x:c r="G2" s="4" t="str">
        <x:v>Outreach Playbook — SEO Conference 主动联系模板</x:v>
      </x:c>
      <x:c r="H2" s="4" t="str">
        <x:v>Outreach Playbook — SEO Conference 主动联系模板</x:v>
      </x:c>
    </x:row>
    <x:row r="3" ht="22" customHeight="1">
      <x:c r="A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B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C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D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E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F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G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H3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</x:row>
    <x:row r="4" ht="22" customHeight="1">
      <x:c r="A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B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C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D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E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F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G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  <x:c r="H4" s="8" t="str">
        <x:v>核心原则：不要只问“赞助多少钱”。首封就给一个与该会议受众匹配的具体合作点，并索要 sponsor deck、剩余 inventory、参会者画像、截止期、独家类别限制与可量化交付。</x:v>
      </x:c>
    </x:row>
    <x:row r="6">
      <x:c r="A6" s="102" t="str">
        <x:v>推荐外联节奏</x:v>
      </x:c>
      <x:c r="B6" s="102" t="str">
        <x:v>推荐外联节奏</x:v>
      </x:c>
      <x:c r="C6" s="102" t="str">
        <x:v>推荐外联节奏</x:v>
      </x:c>
      <x:c r="D6" s="102" t="str">
        <x:v>推荐外联节奏</x:v>
      </x:c>
      <x:c r="E6" s="102" t="str">
        <x:v>推荐外联节奏</x:v>
      </x:c>
      <x:c r="F6" s="102" t="str">
        <x:v>推荐外联节奏</x:v>
      </x:c>
      <x:c r="G6" s="102" t="str">
        <x:v>推荐外联节奏</x:v>
      </x:c>
      <x:c r="H6" s="102" t="str">
        <x:v>推荐外联节奏</x:v>
      </x:c>
    </x:row>
    <x:row r="7">
      <x:c r="A7" s="105" t="str">
        <x:v>时间</x:v>
      </x:c>
      <x:c r="B7" s="105" t="str">
        <x:v>动作</x:v>
      </x:c>
      <x:c r="C7" s="105" t="str">
        <x:v>目标</x:v>
      </x:c>
      <x:c r="D7" s="105" t="str">
        <x:v>注意事项</x:v>
      </x:c>
    </x:row>
    <x:row r="8" ht="42" customHeight="1">
      <x:c r="A8" s="107" t="str">
        <x:v>Day 0</x:v>
      </x:c>
      <x:c r="B8" s="54" t="str">
        <x:v>个性化首封邮件 / 官方表单</x:v>
      </x:c>
      <x:c r="C8" s="54" t="str">
        <x:v>拿到 deck、库存、deadline</x:v>
      </x:c>
      <x:c r="D8" s="54" t="str">
        <x:v>提 1 个具体合作概念；100–150 词</x:v>
      </x:c>
    </x:row>
    <x:row r="9" ht="42" customHeight="1">
      <x:c r="A9" s="107" t="str">
        <x:v>Day 2–3</x:v>
      </x:c>
      <x:c r="B9" s="54" t="str">
        <x:v>LinkedIn 或电话轻跟进</x:v>
      </x:c>
      <x:c r="C9" s="54" t="str">
        <x:v>确认邮件到达负责人</x:v>
      </x:c>
      <x:c r="D9" s="54" t="str">
        <x:v>补一句与你们目标市场的匹配点</x:v>
      </x:c>
    </x:row>
    <x:row r="10" ht="42" customHeight="1">
      <x:c r="A10" s="107" t="str">
        <x:v>Day 7</x:v>
      </x:c>
      <x:c r="B10" s="54" t="str">
        <x:v>价值型跟进</x:v>
      </x:c>
      <x:c r="C10" s="54" t="str">
        <x:v>推动 15 分钟 call</x:v>
      </x:c>
      <x:c r="D10" s="54" t="str">
        <x:v>附一页 activation 草案或相关案例</x:v>
      </x:c>
    </x:row>
    <x:row r="11" ht="42" customHeight="1">
      <x:c r="A11" s="107" t="str">
        <x:v>Day 14</x:v>
      </x:c>
      <x:c r="B11" s="54" t="str">
        <x:v>关闭循环</x:v>
      </x:c>
      <x:c r="C11" s="54" t="str">
        <x:v>得到 yes / later / no</x:v>
      </x:c>
      <x:c r="D11" s="54" t="str">
        <x:v>给出两个明确合作选项与截止日</x:v>
      </x:c>
    </x:row>
    <x:row r="12" ht="42" customHeight="1">
      <x:c r="A12" s="107" t="str">
        <x:v>季度</x:v>
      </x:c>
      <x:c r="B12" s="54" t="str">
        <x:v>日期待定大会 nurture</x:v>
      </x:c>
      <x:c r="C12" s="54" t="str">
        <x:v>进入下一届第一批 sponsor</x:v>
      </x:c>
      <x:c r="D12" s="54" t="str">
        <x:v>分享行业数据、内容或社区资源，不反复催价</x:v>
      </x:c>
    </x:row>
    <x:row r="14">
      <x:c r="A14" s="61" t="str">
        <x:v>Template 1 — Sponsorship / Partnership（英文）</x:v>
      </x:c>
      <x:c r="B14" s="61" t="str">
        <x:v>Template 1 — Sponsorship / Partnership（英文）</x:v>
      </x:c>
      <x:c r="C14" s="61" t="str">
        <x:v>Template 1 — Sponsorship / Partnership（英文）</x:v>
      </x:c>
      <x:c r="D14" s="61" t="str">
        <x:v>Template 1 — Sponsorship / Partnership（英文）</x:v>
      </x:c>
      <x:c r="E14" s="61" t="str">
        <x:v>Template 1 — Sponsorship / Partnership（英文）</x:v>
      </x:c>
      <x:c r="F14" s="61" t="str">
        <x:v>Template 1 — Sponsorship / Partnership（英文）</x:v>
      </x:c>
      <x:c r="G14" s="61" t="str">
        <x:v>Template 1 — Sponsorship / Partnership（英文）</x:v>
      </x:c>
      <x:c r="H14" s="61" t="str">
        <x:v>Template 1 — Sponsorship / Partnership（英文）</x:v>
      </x:c>
    </x:row>
    <x:row r="15">
      <x:c r="A15" s="108" t="str">
        <x:v>Subject: Partnership idea for {Conference} — {Brand} × {Audience}</x:v>
      </x:c>
      <x:c r="B15" s="108" t="str">
        <x:v>Subject: Partnership idea for {Conference} — {Brand} × {Audience}</x:v>
      </x:c>
      <x:c r="C15" s="108" t="str">
        <x:v>Subject: Partnership idea for {Conference} — {Brand} × {Audience}</x:v>
      </x:c>
      <x:c r="D15" s="108" t="str">
        <x:v>Subject: Partnership idea for {Conference} — {Brand} × {Audience}</x:v>
      </x:c>
      <x:c r="E15" s="108" t="str">
        <x:v>Subject: Partnership idea for {Conference} — {Brand} × {Audience}</x:v>
      </x:c>
      <x:c r="F15" s="108" t="str">
        <x:v>Subject: Partnership idea for {Conference} — {Brand} × {Audience}</x:v>
      </x:c>
      <x:c r="G15" s="108" t="str">
        <x:v>Subject: Partnership idea for {Conference} — {Brand} × {Audience}</x:v>
      </x:c>
      <x:c r="H15" s="108" t="str">
        <x:v>Subject: Partnership idea for {Conference} — {Brand} × {Audience}</x:v>
      </x:c>
    </x:row>
    <x:row r="16" ht="32" customHeight="1">
      <x:c r="A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16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17" ht="32" customHeight="1">
      <x:c r="A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17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18" ht="32" customHeight="1">
      <x:c r="A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18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19" ht="32" customHeight="1">
      <x:c r="A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19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20" ht="32" customHeight="1">
      <x:c r="A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20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21" ht="32" customHeight="1">
      <x:c r="A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21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22" ht="32" customHeight="1">
      <x:c r="A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22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23" ht="32" customHeight="1">
      <x:c r="A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B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C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D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E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F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G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  <x:c r="H23" s="111" t="str">
        <x:v>Hi {First name},
I’m {Name} from {Brand}. We help {specific audience} achieve {specific outcome}. I’m reaching out because {Conference}’s focus on {one concrete theme / audience trait} closely matches the people we support in {region}.
Rather than a standard logo placement, we’d like to explore {one activation: a data-led workshop / VIP roundtable / practical product lab / community scholarship}. We can contribute {proof: proprietary data, expert, customer case study, local-language support, or community reach}.
Are you still accepting sponsors, media partners, or community partners for {edition}? If so, could you share the current deck, remaining inventory, attendee role/company breakdown, deadlines, and any category-exclusivity rules?
Happy to send a one-page concept or jump on a 15-minute call next week.
Best,
{Name}
{Title} | {Brand}
{Website} | {LinkedIn}</x:v>
      </x:c>
    </x:row>
    <x:row r="25">
      <x:c r="A25" s="102" t="str">
        <x:v>Template 2 — Speaking / Case Study（不要写成产品推销）</x:v>
      </x:c>
      <x:c r="B25" s="102" t="str">
        <x:v>Template 2 — Speaking / Case Study（不要写成产品推销）</x:v>
      </x:c>
      <x:c r="C25" s="102" t="str">
        <x:v>Template 2 — Speaking / Case Study（不要写成产品推销）</x:v>
      </x:c>
      <x:c r="D25" s="102" t="str">
        <x:v>Template 2 — Speaking / Case Study（不要写成产品推销）</x:v>
      </x:c>
      <x:c r="E25" s="102" t="str">
        <x:v>Template 2 — Speaking / Case Study（不要写成产品推销）</x:v>
      </x:c>
      <x:c r="F25" s="102" t="str">
        <x:v>Template 2 — Speaking / Case Study（不要写成产品推销）</x:v>
      </x:c>
      <x:c r="G25" s="102" t="str">
        <x:v>Template 2 — Speaking / Case Study（不要写成产品推销）</x:v>
      </x:c>
      <x:c r="H25" s="102" t="str">
        <x:v>Template 2 — Speaking / Case Study（不要写成产品推销）</x:v>
      </x:c>
    </x:row>
    <x:row r="26" ht="34" customHeight="1">
      <x:c r="A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B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C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D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E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F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G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H26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</x:row>
    <x:row r="27" ht="34" customHeight="1">
      <x:c r="A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B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C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D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E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F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G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H27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</x:row>
    <x:row r="28" ht="34" customHeight="1">
      <x:c r="A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B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C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D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E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F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G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H28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</x:row>
    <x:row r="29" ht="34" customHeight="1">
      <x:c r="A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B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C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D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E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F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G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H29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</x:row>
    <x:row r="30" ht="34" customHeight="1">
      <x:c r="A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B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C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D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E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F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G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H30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</x:row>
    <x:row r="31" ht="34" customHeight="1">
      <x:c r="A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B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C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D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E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F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G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  <x:c r="H31" s="111" t="str">
        <x:v>Subject: Case-study proposal for {Conference}: {specific result}
Hi {First name},
We recently {did a specific thing} and saw {measurable result} across {sample / market}. I’d like to propose a practical session for {Conference}: “{narrow, non-promotional title}.”
Attendees would leave with: (1) {framework}, (2) {real data / failure lessons}, and (3) {repeatable checklist}. The session would use anonymized examples and no product demo.
If the agenda is already closed, we’d also be open to a workshop, roundtable, or content partnership. What format is still available?
Best,
{Name}</x:v>
      </x:c>
    </x:row>
    <x:row r="33">
      <x:c r="A33" s="115" t="str">
        <x:v>Template 3 — Community / Media Partnership（预算较小时）</x:v>
      </x:c>
      <x:c r="B33" s="115" t="str">
        <x:v>Template 3 — Community / Media Partnership（预算较小时）</x:v>
      </x:c>
      <x:c r="C33" s="115" t="str">
        <x:v>Template 3 — Community / Media Partnership（预算较小时）</x:v>
      </x:c>
      <x:c r="D33" s="115" t="str">
        <x:v>Template 3 — Community / Media Partnership（预算较小时）</x:v>
      </x:c>
      <x:c r="E33" s="115" t="str">
        <x:v>Template 3 — Community / Media Partnership（预算较小时）</x:v>
      </x:c>
      <x:c r="F33" s="115" t="str">
        <x:v>Template 3 — Community / Media Partnership（预算较小时）</x:v>
      </x:c>
      <x:c r="G33" s="115" t="str">
        <x:v>Template 3 — Community / Media Partnership（预算较小时）</x:v>
      </x:c>
      <x:c r="H33" s="115" t="str">
        <x:v>Template 3 — Community / Media Partnership（预算较小时）</x:v>
      </x:c>
    </x:row>
    <x:row r="34" ht="34" customHeight="1">
      <x:c r="A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B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C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D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E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F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G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H34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</x:row>
    <x:row r="35" ht="34" customHeight="1">
      <x:c r="A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B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C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D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E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F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G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H35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</x:row>
    <x:row r="36" ht="34" customHeight="1">
      <x:c r="A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B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C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D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E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F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G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H36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</x:row>
    <x:row r="37" ht="34" customHeight="1">
      <x:c r="A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B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C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D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E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F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G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H37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</x:row>
    <x:row r="38" ht="34" customHeight="1">
      <x:c r="A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B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C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D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E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F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G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H38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</x:row>
    <x:row r="39" ht="34" customHeight="1">
      <x:c r="A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B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C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D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E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F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G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  <x:c r="H39" s="111" t="str">
        <x:v>Subject: Community partnership idea for {Conference}
Hi {First name},
{Brand / Community} reaches {audience + region}. We’d like to support {Conference} through a value exchange rather than a standard booth: {newsletter feature / speaker interview / localized recap / ticket scholarship / community meetup}.
In return, we’d be looking for {partner listing / ticket allocation / content access / attendee discount / on-site interview permission}. If this is relevant, could you share your media/community partner options and deadlines?
Best,
{Name}</x:v>
      </x:c>
    </x:row>
    <x:row r="41">
      <x:c r="A41" s="61" t="str">
        <x:v>首封邮件发送前的 8 个个性化字段</x:v>
      </x:c>
      <x:c r="B41" s="61" t="str">
        <x:v>首封邮件发送前的 8 个个性化字段</x:v>
      </x:c>
      <x:c r="C41" s="61" t="str">
        <x:v>首封邮件发送前的 8 个个性化字段</x:v>
      </x:c>
      <x:c r="D41" s="61" t="str">
        <x:v>首封邮件发送前的 8 个个性化字段</x:v>
      </x:c>
      <x:c r="E41" s="61" t="str">
        <x:v>首封邮件发送前的 8 个个性化字段</x:v>
      </x:c>
      <x:c r="F41" s="61" t="str">
        <x:v>首封邮件发送前的 8 个个性化字段</x:v>
      </x:c>
      <x:c r="G41" s="61" t="str">
        <x:v>首封邮件发送前的 8 个个性化字段</x:v>
      </x:c>
      <x:c r="H41" s="61" t="str">
        <x:v>首封邮件发送前的 8 个个性化字段</x:v>
      </x:c>
    </x:row>
    <x:row r="42" ht="38" customHeight="1">
      <x:c r="A42" s="118" t="str">
        <x:v>1. 对方名字</x:v>
      </x:c>
      <x:c r="B42" s="118" t="str">
        <x:v>2. 具体场次与日期</x:v>
      </x:c>
      <x:c r="C42" s="118" t="str">
        <x:v>3. 一个受众特征</x:v>
      </x:c>
      <x:c r="D42" s="118" t="str">
        <x:v>4. 一个主题或议题</x:v>
      </x:c>
    </x:row>
    <x:row r="43" ht="38" customHeight="1">
      <x:c r="A43" s="118" t="str">
        <x:v>5. 你能贡献的资产</x:v>
      </x:c>
      <x:c r="B43" s="118" t="str">
        <x:v>6. 想要的合作形式</x:v>
      </x:c>
      <x:c r="C43" s="118" t="str">
        <x:v>7. 区域市场价值</x:v>
      </x:c>
      <x:c r="D43" s="118" t="str">
        <x:v>8. 明确下一步与时间</x:v>
      </x:c>
    </x:row>
    <x:row r="44" ht="38" customHeight="1">
      <x:c r="A44" s="119" t="str">
        <x:v>不要群发 Dear Team</x:v>
      </x:c>
      <x:c r="B44" s="119" t="str">
        <x:v>不要复制同一段大会介绍</x:v>
      </x:c>
      <x:c r="C44" s="119" t="str">
        <x:v>不要只写品牌曝光</x:v>
      </x:c>
      <x:c r="D44" s="119" t="str">
        <x:v>不要把演讲提案写成 Demo</x:v>
      </x:c>
    </x:row>
    <x:row r="45" ht="38" customHeight="1">
      <x:c r="A45" s="119" t="str">
        <x:v>最好 100–150 词</x:v>
      </x:c>
      <x:c r="B45" s="119" t="str">
        <x:v>一封只提 1 个主概念</x:v>
      </x:c>
      <x:c r="C45" s="119" t="str">
        <x:v>附 1 页而非 20 页 Deck</x:v>
      </x:c>
      <x:c r="D45" s="119" t="str">
        <x:v>7 天内至少两次跟进</x:v>
      </x:c>
    </x:row>
  </x:sheetData>
  <x:mergeCells>
    <x:mergeCell ref="A1:H2"/>
    <x:mergeCell ref="A3:H4"/>
    <x:mergeCell ref="A6:H6"/>
    <x:mergeCell ref="A14:H14"/>
    <x:mergeCell ref="A15:H15"/>
    <x:mergeCell ref="A16:H23"/>
    <x:mergeCell ref="A25:H25"/>
    <x:mergeCell ref="A26:H31"/>
    <x:mergeCell ref="A33:H33"/>
    <x:mergeCell ref="A34:H39"/>
    <x:mergeCell ref="A41:H41"/>
  </x:mergeCells>
  <x:pageMargins left="0.7" right="0.7" top="0.75" bottom="0.75" header="0.3" footer="0.3"/>
</x:worksheet>
</file>