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f17533eef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6755be8a7d24516"/>
    <x:sheet xmlns:r="http://schemas.openxmlformats.org/officeDocument/2006/relationships" name="讲者总览" sheetId="2" r:id="R7e0ece241b874395"/>
    <x:sheet xmlns:r="http://schemas.openxmlformats.org/officeDocument/2006/relationships" name="账号明细" sheetId="3" r:id="Rd1a3d243701b4ca4"/>
    <x:sheet xmlns:r="http://schemas.openxmlformats.org/officeDocument/2006/relationships" name="说明与来源" sheetId="4" r:id="R7f4316f981e5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26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sz val="9"/>
      <x:color rgb="FF475569"/>
      <x:name val="Carlito"/>
    </x:font>
    <x:font>
      <x:b/>
      <x:sz val="20"/>
      <x:color rgb="FFFFFFFF"/>
      <x:name val="Carlito"/>
    </x:font>
    <x:font>
      <x:sz val="10"/>
      <x:color rgb="FFCBD5E1"/>
      <x:name val="Carlito"/>
    </x:font>
    <x:font>
      <x:b/>
      <x:sz val="10"/>
      <x:color rgb="FF475569"/>
      <x:name val="Carlito"/>
    </x:font>
    <x:font>
      <x:b/>
      <x:sz val="18"/>
      <x:color rgb="FF111827"/>
      <x:name val="Carlito"/>
    </x:font>
    <x:font>
      <x:b/>
      <x:sz val="12"/>
      <x:color rgb="FFFFFFFF"/>
      <x:name val="Carlito"/>
    </x:font>
    <x:font>
      <x:b/>
      <x:sz val="11"/>
      <x:color rgb="FF991B1B"/>
      <x:name val="Carlito"/>
    </x:font>
    <x:font>
      <x:i/>
      <x:sz val="10"/>
      <x:color rgb="FF475569"/>
      <x:name val="Carlito"/>
    </x:font>
    <x:font>
      <x:sz val="10"/>
      <x:color rgb="FF9A3412"/>
      <x:name val="Carlito"/>
    </x:font>
    <x:font>
      <x:b/>
      <x:sz val="18"/>
      <x:color rgb="FFFFFFFF"/>
      <x:name val="Carlito"/>
    </x:font>
    <x:font>
      <x:b/>
      <x:sz val="20"/>
      <x:color rgb="FFFFFFFF"/>
      <x:name val="Arial"/>
    </x:font>
    <x:font>
      <x:sz val="10"/>
      <x:color rgb="FFCBD5E1"/>
      <x:name val="Arial"/>
    </x:font>
    <x:font>
      <x:b/>
      <x:sz val="10"/>
      <x:color rgb="FF475569"/>
      <x:name val="Arial"/>
    </x:font>
    <x:font>
      <x:b/>
      <x:sz val="18"/>
      <x:color rgb="FF111827"/>
      <x:name val="Arial"/>
    </x:font>
    <x:font>
      <x:sz val="11"/>
      <x:name val="Arial"/>
    </x:font>
    <x:font>
      <x:b/>
      <x:sz val="12"/>
      <x:color rgb="FFFFFFFF"/>
      <x:name val="Arial"/>
    </x:font>
    <x:font>
      <x:b/>
      <x:sz val="11"/>
      <x:color rgb="FF991B1B"/>
      <x:name val="Arial"/>
    </x:font>
    <x:font>
      <x:i/>
      <x:sz val="10"/>
      <x:color rgb="FF475569"/>
      <x:name val="Arial"/>
    </x:font>
    <x:font>
      <x:sz val="10"/>
      <x:color rgb="FF9A3412"/>
      <x:name val="Arial"/>
    </x:font>
    <x:font>
      <x:b/>
      <x:sz val="11"/>
      <x:color rgb="FFFFFFFF"/>
      <x:name val="Arial"/>
    </x:font>
    <x:font>
      <x:sz val="10"/>
      <x:color rgb="FF111827"/>
      <x:name val="Arial"/>
    </x:font>
    <x:font>
      <x:sz val="9"/>
      <x:color rgb="FF475569"/>
      <x:name val="Arial"/>
    </x:font>
    <x:font>
      <x:b/>
      <x:sz val="18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EB3030"/>
      </x:patternFill>
    </x:fill>
    <x:fill>
      <x:patternFill patternType="solid">
        <x:fgColor rgb="FFFEE2E2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21">
    <x:border/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left style="thin">
        <x:color rgb="FFE2E8F0"/>
      </x:left>
    </x:border>
    <x:border>
      <x:right style="thin">
        <x:color rgb="FFE2E8F0"/>
      </x:right>
    </x:border>
    <x:border>
      <x:bottom style="thin">
        <x:color rgb="FFE2E8F0"/>
      </x:bottom>
    </x:border>
    <x:border>
      <x:left style="thin">
        <x:color rgb="FFFED7AA"/>
      </x:left>
      <x:top style="thin">
        <x:color rgb="FFFED7AA"/>
      </x:top>
    </x:border>
    <x:border>
      <x:top style="thin">
        <x:color rgb="FFFED7AA"/>
      </x:top>
    </x:border>
    <x:border>
      <x:right style="thin">
        <x:color rgb="FFFED7AA"/>
      </x:right>
      <x:top style="thin">
        <x:color rgb="FFFED7AA"/>
      </x:top>
    </x:border>
    <x:border>
      <x:left style="thin">
        <x:color rgb="FFFED7AA"/>
      </x:left>
      <x:bottom style="thin">
        <x:color rgb="FFFED7AA"/>
      </x:bottom>
    </x:border>
    <x:border>
      <x:bottom style="thin">
        <x:color rgb="FFFED7AA"/>
      </x:bottom>
    </x:border>
    <x:border>
      <x:right style="thin">
        <x:color rgb="FFFED7AA"/>
      </x:right>
      <x:bottom style="thin">
        <x:color rgb="FFFED7AA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200" fontId="7" fillId="5" borderId="2" xfId="0" applyNumberFormat="1" applyFont="1" applyFill="1" applyBorder="1" applyAlignment="1">
      <x:alignment vertical="center"/>
    </x:xf>
    <x:xf numFmtId="200" fontId="7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5" xfId="0" applyNumberFormat="1" applyFont="1" applyFill="1" applyBorder="1"/>
    <x:xf numFmtId="0" fontId="9" fillId="7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20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8" xfId="0" applyNumberFormat="1" applyFont="1" applyFill="1" applyBorder="1"/>
    <x:xf numFmtId="0" fontId="10" fillId="8" borderId="12" xfId="0" applyNumberFormat="1" applyFont="1" applyFill="1" applyBorder="1"/>
    <x:xf numFmtId="0" fontId="10" fillId="8" borderId="13" xfId="0" applyNumberFormat="1" applyFont="1" applyFill="1" applyBorder="1"/>
    <x:xf numFmtId="0" fontId="10" fillId="8" borderId="6" xfId="0" applyNumberFormat="1" applyFont="1" applyFill="1" applyBorder="1"/>
    <x:xf numFmtId="0" fontId="10" fillId="8" borderId="14" xfId="0" applyNumberFormat="1" applyFont="1" applyFill="1" applyBorder="1"/>
    <x:xf numFmtId="0" fontId="10" fillId="8" borderId="4" xfId="0" applyNumberFormat="1" applyFont="1" applyFill="1" applyBorder="1"/>
    <x:xf numFmtId="0" fontId="10" fillId="8" borderId="10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wrapText="1"/>
    </x:xf>
    <x:xf numFmtId="0" fontId="10" fillId="8" borderId="8" xfId="0" applyNumberFormat="1" applyFont="1" applyFill="1" applyBorder="1" applyAlignment="1">
      <x:alignment wrapText="1"/>
    </x:xf>
    <x:xf numFmtId="0" fontId="10" fillId="8" borderId="12" xfId="0" applyNumberFormat="1" applyFont="1" applyFill="1" applyBorder="1" applyAlignment="1">
      <x:alignment wrapText="1"/>
    </x:xf>
    <x:xf numFmtId="0" fontId="10" fillId="8" borderId="0" xfId="0" applyNumberFormat="1" applyFont="1" applyFill="1" applyBorder="1" applyAlignment="1">
      <x:alignment wrapText="1"/>
    </x:xf>
    <x:xf numFmtId="0" fontId="10" fillId="8" borderId="13" xfId="0" applyNumberFormat="1" applyFont="1" applyFill="1" applyBorder="1" applyAlignment="1">
      <x:alignment wrapText="1"/>
    </x:xf>
    <x:xf numFmtId="0" fontId="10" fillId="8" borderId="6" xfId="0" applyNumberFormat="1" applyFont="1" applyFill="1" applyBorder="1" applyAlignment="1">
      <x:alignment wrapText="1"/>
    </x:xf>
    <x:xf numFmtId="0" fontId="10" fillId="8" borderId="14" xfId="0" applyNumberFormat="1" applyFont="1" applyFill="1" applyBorder="1" applyAlignment="1">
      <x:alignment wrapText="1"/>
    </x:xf>
    <x:xf numFmtId="0" fontId="10" fillId="8" borderId="4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vertical="center" wrapText="1"/>
    </x:xf>
    <x:xf numFmtId="0" fontId="10" fillId="8" borderId="11" xfId="0" applyNumberFormat="1" applyFont="1" applyFill="1" applyBorder="1" applyAlignment="1">
      <x:alignment vertical="center" wrapText="1"/>
    </x:xf>
    <x:xf numFmtId="0" fontId="10" fillId="8" borderId="8" xfId="0" applyNumberFormat="1" applyFont="1" applyFill="1" applyBorder="1" applyAlignment="1">
      <x:alignment vertical="center" wrapText="1"/>
    </x:xf>
    <x:xf numFmtId="0" fontId="10" fillId="8" borderId="12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10" fillId="8" borderId="13" xfId="0" applyNumberFormat="1" applyFont="1" applyFill="1" applyBorder="1" applyAlignment="1">
      <x:alignment vertical="center" wrapText="1"/>
    </x:xf>
    <x:xf numFmtId="0" fontId="10" fillId="8" borderId="6" xfId="0" applyNumberFormat="1" applyFont="1" applyFill="1" applyBorder="1" applyAlignment="1">
      <x:alignment vertical="center" wrapText="1"/>
    </x:xf>
    <x:xf numFmtId="0" fontId="10" fillId="8" borderId="14" xfId="0" applyNumberFormat="1" applyFont="1" applyFill="1" applyBorder="1" applyAlignment="1">
      <x:alignment vertical="center" wrapText="1"/>
    </x:xf>
    <x:xf numFmtId="0" fontId="10" fillId="8" borderId="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15" xfId="0" applyNumberFormat="1" applyFont="1" applyFill="1" applyBorder="1"/>
    <x:xf numFmtId="0" fontId="11" fillId="9" borderId="16" xfId="0" applyNumberFormat="1" applyFont="1" applyFill="1" applyBorder="1"/>
    <x:xf numFmtId="0" fontId="11" fillId="9" borderId="17" xfId="0" applyNumberFormat="1" applyFont="1" applyFill="1" applyBorder="1"/>
    <x:xf numFmtId="0" fontId="11" fillId="9" borderId="18" xfId="0" applyNumberFormat="1" applyFont="1" applyFill="1" applyBorder="1"/>
    <x:xf numFmtId="0" fontId="11" fillId="9" borderId="19" xfId="0" applyNumberFormat="1" applyFont="1" applyFill="1" applyBorder="1"/>
    <x:xf numFmtId="0" fontId="11" fillId="9" borderId="20" xfId="0" applyNumberFormat="1" applyFont="1" applyFill="1" applyBorder="1"/>
    <x:xf numFmtId="0" fontId="11" fillId="9" borderId="15" xfId="0" applyNumberFormat="1" applyFont="1" applyFill="1" applyBorder="1" applyAlignment="1">
      <x:alignment wrapText="1"/>
    </x:xf>
    <x:xf numFmtId="0" fontId="11" fillId="9" borderId="16" xfId="0" applyNumberFormat="1" applyFont="1" applyFill="1" applyBorder="1" applyAlignment="1">
      <x:alignment wrapText="1"/>
    </x:xf>
    <x:xf numFmtId="0" fontId="11" fillId="9" borderId="17" xfId="0" applyNumberFormat="1" applyFont="1" applyFill="1" applyBorder="1" applyAlignment="1">
      <x:alignment wrapText="1"/>
    </x:xf>
    <x:xf numFmtId="0" fontId="11" fillId="9" borderId="18" xfId="0" applyNumberFormat="1" applyFont="1" applyFill="1" applyBorder="1" applyAlignment="1">
      <x:alignment wrapText="1"/>
    </x:xf>
    <x:xf numFmtId="0" fontId="11" fillId="9" borderId="19" xfId="0" applyNumberFormat="1" applyFont="1" applyFill="1" applyBorder="1" applyAlignment="1">
      <x:alignment wrapText="1"/>
    </x:xf>
    <x:xf numFmtId="0" fontId="11" fillId="9" borderId="20" xfId="0" applyNumberFormat="1" applyFont="1" applyFill="1" applyBorder="1" applyAlignment="1">
      <x:alignment wrapText="1"/>
    </x:xf>
    <x:xf numFmtId="0" fontId="11" fillId="9" borderId="15" xfId="0" applyNumberFormat="1" applyFont="1" applyFill="1" applyBorder="1" applyAlignment="1">
      <x:alignment vertical="center" wrapText="1"/>
    </x:xf>
    <x:xf numFmtId="0" fontId="11" fillId="9" borderId="16" xfId="0" applyNumberFormat="1" applyFont="1" applyFill="1" applyBorder="1" applyAlignment="1">
      <x:alignment vertical="center" wrapText="1"/>
    </x:xf>
    <x:xf numFmtId="0" fontId="11" fillId="9" borderId="17" xfId="0" applyNumberFormat="1" applyFont="1" applyFill="1" applyBorder="1" applyAlignment="1">
      <x:alignment vertical="center" wrapText="1"/>
    </x:xf>
    <x:xf numFmtId="0" fontId="11" fillId="9" borderId="18" xfId="0" applyNumberFormat="1" applyFont="1" applyFill="1" applyBorder="1" applyAlignment="1">
      <x:alignment vertical="center" wrapText="1"/>
    </x:xf>
    <x:xf numFmtId="0" fontId="11" fillId="9" borderId="19" xfId="0" applyNumberFormat="1" applyFont="1" applyFill="1" applyBorder="1" applyAlignment="1">
      <x:alignment vertical="center" wrapText="1"/>
    </x:xf>
    <x:xf numFmtId="0" fontId="11" fillId="9" borderId="2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6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10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0" fontId="16" fillId="5" borderId="1" xfId="0" applyNumberFormat="1" applyFont="1" applyFill="1" applyBorder="1" applyAlignment="1">
      <x:alignment vertical="center"/>
    </x:xf>
    <x:xf numFmtId="0" fontId="16" fillId="5" borderId="2" xfId="0" applyNumberFormat="1" applyFont="1" applyFill="1" applyBorder="1" applyAlignment="1">
      <x:alignment vertical="center"/>
    </x:xf>
    <x:xf numFmtId="200" fontId="16" fillId="5" borderId="2" xfId="0" applyNumberFormat="1" applyFont="1" applyFill="1" applyBorder="1" applyAlignment="1">
      <x:alignment vertical="center"/>
    </x:xf>
    <x:xf numFmtId="200" fontId="16" fillId="5" borderId="3" xfId="0" applyNumberFormat="1" applyFont="1" applyFill="1" applyBorder="1" applyAlignment="1">
      <x:alignment vertical="center"/>
    </x:xf>
    <x:xf numFmtId="0" fontId="17" fillId="0" borderId="0" xfId="0" applyNumberFormat="1" applyFont="1" applyFill="1" applyBorder="1"/>
    <x:xf numFmtId="0" fontId="18" fillId="6" borderId="0" xfId="0" applyNumberFormat="1" applyFont="1" applyFill="1" applyBorder="1" applyAlignment="1">
      <x:alignment vertical="center"/>
    </x:xf>
    <x:xf numFmtId="0" fontId="19" fillId="7" borderId="4" xfId="0" applyNumberFormat="1" applyFont="1" applyFill="1" applyBorder="1"/>
    <x:xf numFmtId="0" fontId="19" fillId="7" borderId="5" xfId="0" applyNumberFormat="1" applyFont="1" applyFill="1" applyBorder="1"/>
    <x:xf numFmtId="0" fontId="19" fillId="7" borderId="6" xfId="0" applyNumberFormat="1" applyFont="1" applyFill="1" applyBorder="1"/>
    <x:xf numFmtId="0" fontId="17" fillId="0" borderId="3" xfId="0" applyNumberFormat="1" applyFont="1" applyFill="1" applyBorder="1"/>
    <x:xf numFmtId="0" fontId="17" fillId="0" borderId="7" xfId="0" applyNumberFormat="1" applyFont="1" applyFill="1" applyBorder="1"/>
    <x:xf numFmtId="200" fontId="17" fillId="0" borderId="1" xfId="0" applyNumberFormat="1" applyFont="1" applyFill="1" applyBorder="1"/>
    <x:xf numFmtId="0" fontId="17" fillId="0" borderId="1" xfId="0" applyNumberFormat="1" applyFont="1" applyFill="1" applyBorder="1"/>
    <x:xf numFmtId="0" fontId="17" fillId="0" borderId="8" xfId="0" applyNumberFormat="1" applyFont="1" applyFill="1" applyBorder="1"/>
    <x:xf numFmtId="0" fontId="17" fillId="0" borderId="9" xfId="0" applyNumberFormat="1" applyFont="1" applyFill="1" applyBorder="1"/>
    <x:xf numFmtId="0" fontId="17" fillId="0" borderId="10" xfId="0" applyNumberFormat="1" applyFont="1" applyFill="1" applyBorder="1"/>
    <x:xf numFmtId="0" fontId="20" fillId="8" borderId="10" xfId="0" applyNumberFormat="1" applyFont="1" applyFill="1" applyBorder="1" applyAlignment="1">
      <x:alignment vertical="center" wrapText="1"/>
    </x:xf>
    <x:xf numFmtId="0" fontId="20" fillId="8" borderId="11" xfId="0" applyNumberFormat="1" applyFont="1" applyFill="1" applyBorder="1" applyAlignment="1">
      <x:alignment vertical="center" wrapText="1"/>
    </x:xf>
    <x:xf numFmtId="0" fontId="20" fillId="8" borderId="8" xfId="0" applyNumberFormat="1" applyFont="1" applyFill="1" applyBorder="1" applyAlignment="1">
      <x:alignment vertical="center" wrapText="1"/>
    </x:xf>
    <x:xf numFmtId="0" fontId="20" fillId="8" borderId="12" xfId="0" applyNumberFormat="1" applyFont="1" applyFill="1" applyBorder="1" applyAlignment="1">
      <x:alignment vertical="center" wrapText="1"/>
    </x:xf>
    <x:xf numFmtId="0" fontId="20" fillId="8" borderId="0" xfId="0" applyNumberFormat="1" applyFont="1" applyFill="1" applyBorder="1" applyAlignment="1">
      <x:alignment vertical="center" wrapText="1"/>
    </x:xf>
    <x:xf numFmtId="0" fontId="20" fillId="8" borderId="13" xfId="0" applyNumberFormat="1" applyFont="1" applyFill="1" applyBorder="1" applyAlignment="1">
      <x:alignment vertical="center" wrapText="1"/>
    </x:xf>
    <x:xf numFmtId="0" fontId="20" fillId="8" borderId="6" xfId="0" applyNumberFormat="1" applyFont="1" applyFill="1" applyBorder="1" applyAlignment="1">
      <x:alignment vertical="center" wrapText="1"/>
    </x:xf>
    <x:xf numFmtId="0" fontId="20" fillId="8" borderId="14" xfId="0" applyNumberFormat="1" applyFont="1" applyFill="1" applyBorder="1" applyAlignment="1">
      <x:alignment vertical="center" wrapText="1"/>
    </x:xf>
    <x:xf numFmtId="0" fontId="20" fillId="8" borderId="4" xfId="0" applyNumberFormat="1" applyFont="1" applyFill="1" applyBorder="1" applyAlignment="1">
      <x:alignment vertical="center" wrapText="1"/>
    </x:xf>
    <x:xf numFmtId="200" fontId="17" fillId="0" borderId="10" xfId="0" applyNumberFormat="1" applyFont="1" applyFill="1" applyBorder="1"/>
    <x:xf numFmtId="0" fontId="21" fillId="9" borderId="15" xfId="0" applyNumberFormat="1" applyFont="1" applyFill="1" applyBorder="1" applyAlignment="1">
      <x:alignment vertical="center" wrapText="1"/>
    </x:xf>
    <x:xf numFmtId="0" fontId="21" fillId="9" borderId="16" xfId="0" applyNumberFormat="1" applyFont="1" applyFill="1" applyBorder="1" applyAlignment="1">
      <x:alignment vertical="center" wrapText="1"/>
    </x:xf>
    <x:xf numFmtId="0" fontId="21" fillId="9" borderId="17" xfId="0" applyNumberFormat="1" applyFont="1" applyFill="1" applyBorder="1" applyAlignment="1">
      <x:alignment vertical="center" wrapText="1"/>
    </x:xf>
    <x:xf numFmtId="0" fontId="21" fillId="9" borderId="18" xfId="0" applyNumberFormat="1" applyFont="1" applyFill="1" applyBorder="1" applyAlignment="1">
      <x:alignment vertical="center" wrapText="1"/>
    </x:xf>
    <x:xf numFmtId="0" fontId="21" fillId="9" borderId="19" xfId="0" applyNumberFormat="1" applyFont="1" applyFill="1" applyBorder="1" applyAlignment="1">
      <x:alignment vertical="center" wrapText="1"/>
    </x:xf>
    <x:xf numFmtId="0" fontId="21" fillId="9" borderId="20" xfId="0" applyNumberFormat="1" applyFont="1" applyFill="1" applyBorder="1" applyAlignment="1">
      <x:alignment vertical="center" wrapText="1"/>
    </x:xf>
    <x:xf numFmtId="0" fontId="22" fillId="2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top"/>
    </x:xf>
    <x:xf numFmtId="0" fontId="23" fillId="0" borderId="0" xfId="0" applyNumberFormat="1" applyFont="1" applyFill="1" applyBorder="1" applyAlignment="1">
      <x:alignment vertical="top" wrapText="1"/>
    </x:xf>
    <x:xf numFmtId="200" fontId="23" fillId="0" borderId="0" xfId="0" applyNumberFormat="1" applyFont="1" applyFill="1" applyBorder="1" applyAlignment="1">
      <x:alignment vertical="top"/>
    </x:xf>
    <x:xf numFmtId="0" fontId="24" fillId="0" borderId="0" xfId="0" applyNumberFormat="1" applyFont="1" applyFill="1" applyBorder="1" applyAlignment="1">
      <x:alignment vertical="top" wrapText="1"/>
    </x:xf>
    <x:xf numFmtId="201" fontId="23" fillId="0" borderId="0" xfId="0" applyNumberFormat="1" applyFont="1" applyFill="1" applyBorder="1" applyAlignment="1">
      <x:alignment vertical="top"/>
    </x:xf>
    <x:xf numFmtId="0" fontId="25" fillId="2" borderId="0" xfId="0" applyNumberFormat="1" applyFont="1" applyFill="1" applyBorder="1" applyAlignment="1">
      <x:alignment vertical="center"/>
    </x:xf>
    <x:xf numFmtId="0" fontId="22" fillId="6" borderId="0" xfId="0" applyNumberFormat="1" applyFont="1" applyFill="1" applyBorder="1"/>
    <x:xf numFmtId="0" fontId="23" fillId="0" borderId="4" xfId="0" applyNumberFormat="1" applyFont="1" applyFill="1" applyBorder="1" applyAlignment="1">
      <x:alignment vertical="top" wrapText="1"/>
    </x:xf>
    <x:xf numFmtId="0" fontId="23" fillId="0" borderId="6" xfId="0" applyNumberFormat="1" applyFont="1" applyFill="1" applyBorder="1" applyAlignment="1">
      <x:alignment vertical="top" wrapText="1"/>
    </x:xf>
    <x:xf numFmtId="0" fontId="23" fillId="0" borderId="3" xfId="0" applyNumberFormat="1" applyFont="1" applyFill="1" applyBorder="1" applyAlignment="1">
      <x:alignment vertical="top" wrapText="1"/>
    </x:xf>
    <x:xf numFmtId="0" fontId="23" fillId="0" borderId="1" xfId="0" applyNumberFormat="1" applyFont="1" applyFill="1" applyBorder="1" applyAlignment="1">
      <x:alignment vertical="top" wrapText="1"/>
    </x:xf>
    <x:xf numFmtId="0" fontId="23" fillId="0" borderId="8" xfId="0" applyNumberFormat="1" applyFont="1" applyFill="1" applyBorder="1" applyAlignment="1">
      <x:alignment vertical="top" wrapText="1"/>
    </x:xf>
    <x:xf numFmtId="0" fontId="23" fillId="0" borderId="10" xfId="0" applyNumberFormat="1" applyFont="1" applyFill="1" applyBorder="1" applyAlignment="1">
      <x:alignment vertical="top" wrapText="1"/>
    </x:xf>
    <x:xf numFmtId="0" fontId="17" fillId="0" borderId="4" xfId="0" applyNumberFormat="1" applyFont="1" applyFill="1" applyBorder="1" applyAlignment="1">
      <x:alignment vertical="top" wrapText="1"/>
    </x:xf>
    <x:xf numFmtId="0" fontId="17" fillId="0" borderId="6" xfId="0" applyNumberFormat="1" applyFont="1" applyFill="1" applyBorder="1" applyAlignment="1">
      <x:alignment vertical="top" wrapText="1"/>
    </x:xf>
    <x:xf numFmtId="0" fontId="17" fillId="0" borderId="3" xfId="0" applyNumberFormat="1" applyFont="1" applyFill="1" applyBorder="1" applyAlignment="1">
      <x:alignment vertical="top" wrapText="1"/>
    </x:xf>
    <x:xf numFmtId="0" fontId="17" fillId="0" borderId="1" xfId="0" applyNumberFormat="1" applyFont="1" applyFill="1" applyBorder="1" applyAlignment="1">
      <x:alignment vertical="top" wrapText="1"/>
    </x:xf>
    <x:xf numFmtId="0" fontId="17" fillId="0" borderId="8" xfId="0" applyNumberFormat="1" applyFont="1" applyFill="1" applyBorder="1" applyAlignment="1">
      <x:alignment vertical="top" wrapText="1"/>
    </x:xf>
    <x:xf numFmtId="0" fontId="17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9fccd07704715" /><Relationship Type="http://schemas.openxmlformats.org/officeDocument/2006/relationships/theme" Target="/xl/theme/theme1.xml" Id="R27d72b0eb8c14d98" /><Relationship Type="http://schemas.openxmlformats.org/officeDocument/2006/relationships/sharedStrings" Target="/xl/sharedStrings.xml" Id="R603f7399b7744884" /><Relationship Type="http://schemas.openxmlformats.org/officeDocument/2006/relationships/worksheet" Target="/xl/worksheets/sheet1.xml" Id="R66755be8a7d24516" /><Relationship Type="http://schemas.openxmlformats.org/officeDocument/2006/relationships/worksheet" Target="/xl/worksheets/sheet2.xml" Id="R7e0ece241b874395" /><Relationship Type="http://schemas.openxmlformats.org/officeDocument/2006/relationships/worksheet" Target="/xl/worksheets/sheet3.xml" Id="Rd1a3d243701b4ca4" /><Relationship Type="http://schemas.openxmlformats.org/officeDocument/2006/relationships/worksheet" Target="/xl/worksheets/sheet4.xml" Id="R7f4316f981e54524" /></Relationships>
</file>

<file path=xl/tables/table1.xml><?xml version="1.0" encoding="utf-8"?>
<x:table xmlns:x="http://schemas.openxmlformats.org/spreadsheetml/2006/main" id="1" name="SpeakersOverview" displayName="SpeakersOverview" ref="A1:N59" headerRowCount="1" totalsRowCount="0" totalsRowShown="0">
  <x:tableColumns count="14">
    <x:tableColumn id="1" name="序号"/>
    <x:tableColumn id="2" name="议程类型"/>
    <x:tableColumn id="3" name="姓名"/>
    <x:tableColumn id="4" name="职位 / 机构"/>
    <x:tableColumn id="5" name="个人简介（中文简述）"/>
    <x:tableColumn id="6" name="LinkedIn"/>
    <x:tableColumn id="7" name="LinkedIn 粉丝"/>
    <x:tableColumn id="8" name="X"/>
    <x:tableColumn id="9" name="X 粉丝"/>
    <x:tableColumn id="10" name="YouTube"/>
    <x:tableColumn id="11" name="YouTube 订阅"/>
    <x:tableColumn id="12" name="公开可核实受众"/>
    <x:tableColumn id="13" name="官网个人页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cialAccounts" displayName="SocialAccounts" ref="A1:I95" headerRowCount="1" totalsRowCount="0" totalsRowShown="0">
  <x:tableColumns count="9">
    <x:tableColumn id="1" name="序号"/>
    <x:tableColumn id="2" name="讲者"/>
    <x:tableColumn id="3" name="平台"/>
    <x:tableColumn id="4" name="账号 / Handle"/>
    <x:tableColumn id="5" name="账号 URL"/>
    <x:tableColumn id="6" name="粉丝 / 订阅数"/>
    <x:tableColumn id="7" name="采集状态"/>
    <x:tableColumn id="8" name="核对日期"/>
    <x:tableColumn id="9" name="官网来源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08f0f3fe4f4c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bd00bcf3df45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3" hidden="0" customWidth="1"/>
    <x:col min="4" max="4" width="4" hidden="0" customWidth="1"/>
    <x:col min="5" max="5" width="16" hidden="0" customWidth="1"/>
    <x:col min="6" max="6" width="12" hidden="0" customWidth="1"/>
    <x:col min="7" max="7" width="43" hidden="0" customWidth="1"/>
    <x:col min="8" max="8" width="4" hidden="0" customWidth="1"/>
    <x:col min="9" max="9" width="15" hidden="0" customWidth="1"/>
    <x:col min="10" max="10" width="15" hidden="0" customWidth="1"/>
  </x:cols>
  <x:sheetData>
    <x:row r="1" ht="44" customHeight="1">
      <x:c r="A1" s="132" t="str">
        <x:v>Shenzhen SEO Conference 2026｜讲者社交媒体盘点</x:v>
      </x:c>
      <x:c r="B1" s="132"/>
      <x:c r="C1" s="132"/>
      <x:c r="D1" s="132"/>
      <x:c r="E1" s="132"/>
      <x:c r="F1" s="132"/>
      <x:c r="G1" s="132"/>
      <x:c r="H1" s="132"/>
      <x:c r="I1" s="132"/>
      <x:c r="J1" s="132"/>
    </x:row>
    <x:row r="2" ht="26" customHeight="1">
      <x:c r="A2" s="133" t="str">
        <x:v>范围：官网 2026 Lineup 的 58 位独立讲者｜粉丝数核对日期：2026-09-02（Asia/Shanghai）</x:v>
      </x:c>
      <x:c r="B2" s="133"/>
      <x:c r="C2" s="133"/>
      <x:c r="D2" s="133"/>
      <x:c r="E2" s="133"/>
      <x:c r="F2" s="133"/>
      <x:c r="G2" s="133"/>
      <x:c r="H2" s="133"/>
      <x:c r="I2" s="133"/>
      <x:c r="J2" s="133"/>
    </x:row>
    <x:row r="3" ht="24" customHeight="1">
      <x:c r="A3" s="134" t="str">
        <x:v>讲者人数</x:v>
      </x:c>
      <x:c r="B3" s="134" t="str"/>
      <x:c r="C3" s="134" t="str">
        <x:v>LinkedIn 账号</x:v>
      </x:c>
      <x:c r="D3" s="134" t="str"/>
      <x:c r="E3" s="134" t="str">
        <x:v>X 账号</x:v>
      </x:c>
      <x:c r="F3" s="134" t="str"/>
      <x:c r="G3" s="134" t="str">
        <x:v>YouTube 账号</x:v>
      </x:c>
      <x:c r="H3" s="134" t="str"/>
      <x:c r="I3" s="134" t="str">
        <x:v>公开受众合计*</x:v>
      </x:c>
      <x:c r="J3" s="134" t="str"/>
    </x:row>
    <x:row r="4" ht="38" customHeight="1">
      <x:c r="A4" s="135" t="n">
        <x:f>COUNTA('讲者总览'!$C$2:$C$59)</x:f>
        <x:v>58</x:v>
      </x:c>
      <x:c r="B4" s="136"/>
      <x:c r="C4" s="136" t="n">
        <x:f>COUNTIF('账号明细'!$C$2:$C$95,"LinkedIn")</x:f>
        <x:v>56</x:v>
      </x:c>
      <x:c r="D4" s="136"/>
      <x:c r="E4" s="136" t="n">
        <x:f>COUNTIF('账号明细'!$C$2:$C$95,"X")</x:f>
        <x:v>23</x:v>
      </x:c>
      <x:c r="F4" s="136"/>
      <x:c r="G4" s="136" t="n">
        <x:f>COUNTIF('账号明细'!$C$2:$C$95,"YouTube")</x:f>
        <x:v>15</x:v>
      </x:c>
      <x:c r="H4" s="136"/>
      <x:c r="I4" s="137" t="n">
        <x:f>SUM('账号明细'!$F$2:$F$95)</x:f>
        <x:v>409592</x:v>
      </x:c>
      <x:c r="J4" s="138"/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</x:row>
    <x:row r="6" ht="28" customHeight="1">
      <x:c r="A6" s="140" t="str">
        <x:v>公开平台受众 Top 10</x:v>
      </x:c>
      <x:c r="B6" s="140"/>
      <x:c r="C6" s="140"/>
      <x:c r="D6" s="139"/>
      <x:c r="E6" s="140" t="str">
        <x:v>平台覆盖与数据可见性</x:v>
      </x:c>
      <x:c r="F6" s="140"/>
      <x:c r="G6" s="140"/>
      <x:c r="H6" s="140"/>
      <x:c r="I6" s="139"/>
      <x:c r="J6" s="139"/>
    </x:row>
    <x:row r="7" ht="24" customHeight="1">
      <x:c r="A7" s="141" t="str">
        <x:v>排名</x:v>
      </x:c>
      <x:c r="B7" s="142" t="str">
        <x:v>讲者</x:v>
      </x:c>
      <x:c r="C7" s="143" t="str">
        <x:v>X + YouTube 公开粉丝/订阅</x:v>
      </x:c>
      <x:c r="D7" s="139"/>
      <x:c r="E7" s="141" t="str">
        <x:v>平台</x:v>
      </x:c>
      <x:c r="F7" s="142" t="str">
        <x:v>账号数</x:v>
      </x:c>
      <x:c r="G7" s="143" t="str">
        <x:v>粉丝指标</x:v>
      </x:c>
      <x:c r="H7" s="139"/>
      <x:c r="I7" s="139"/>
      <x:c r="J7" s="139"/>
    </x:row>
    <x:row r="8">
      <x:c r="A8" s="144" t="n">
        <x:v>1</x:v>
      </x:c>
      <x:c r="B8" s="145" t="str">
        <x:f>INDEX('讲者总览'!$C$2:$C$59,MATCH(C8,'讲者总览'!$L$2:$L$59,0))</x:f>
        <x:v>Lily Ray</x:v>
      </x:c>
      <x:c r="C8" s="146" t="n">
        <x:f>LARGE('讲者总览'!$L$2:$L$59,A8)</x:f>
        <x:v>126270</x:v>
      </x:c>
      <x:c r="D8" s="139"/>
      <x:c r="E8" s="144" t="str">
        <x:v>LinkedIn</x:v>
      </x:c>
      <x:c r="F8" s="145" t="n">
        <x:f>COUNTIF('账号明细'!$C$2:$C$95,E8)</x:f>
        <x:v>56</x:v>
      </x:c>
      <x:c r="G8" s="147" t="str">
        <x:v>受登录墙限制，账号保留但未采集粉丝数</x:v>
      </x:c>
      <x:c r="H8" s="139"/>
      <x:c r="I8" s="139"/>
      <x:c r="J8" s="139"/>
    </x:row>
    <x:row r="9">
      <x:c r="A9" s="144" t="n">
        <x:v>2</x:v>
      </x:c>
      <x:c r="B9" s="145" t="str">
        <x:f>INDEX('讲者总览'!$C$2:$C$59,MATCH(C9,'讲者总览'!$L$2:$L$59,0))</x:f>
        <x:v>Ilman Akbar</x:v>
      </x:c>
      <x:c r="C9" s="146" t="n">
        <x:f>LARGE('讲者总览'!$L$2:$L$59,A9)</x:f>
        <x:v>85506</x:v>
      </x:c>
      <x:c r="D9" s="139"/>
      <x:c r="E9" s="144" t="str">
        <x:v>X</x:v>
      </x:c>
      <x:c r="F9" s="145" t="n">
        <x:f>COUNTIF('账号明细'!$C$2:$C$95,E9)</x:f>
        <x:v>23</x:v>
      </x:c>
      <x:c r="G9" s="147" t="str">
        <x:v>公开 Followers</x:v>
      </x:c>
      <x:c r="H9" s="139"/>
      <x:c r="I9" s="139"/>
      <x:c r="J9" s="139"/>
    </x:row>
    <x:row r="10">
      <x:c r="A10" s="144" t="n">
        <x:v>3</x:v>
      </x:c>
      <x:c r="B10" s="145" t="str">
        <x:f>INDEX('讲者总览'!$C$2:$C$59,MATCH(C10,'讲者总览'!$L$2:$L$59,0))</x:f>
        <x:v>Gary Illyes</x:v>
      </x:c>
      <x:c r="C10" s="146" t="n">
        <x:f>LARGE('讲者总览'!$L$2:$L$59,A10)</x:f>
        <x:v>43800</x:v>
      </x:c>
      <x:c r="D10" s="139"/>
      <x:c r="E10" s="148" t="str">
        <x:v>YouTube</x:v>
      </x:c>
      <x:c r="F10" s="149" t="n">
        <x:f>COUNTIF('账号明细'!$C$2:$C$95,E10)</x:f>
        <x:v>15</x:v>
      </x:c>
      <x:c r="G10" s="150" t="str">
        <x:v>公开 Subscribers</x:v>
      </x:c>
      <x:c r="H10" s="139"/>
      <x:c r="I10" s="139"/>
      <x:c r="J10" s="139"/>
    </x:row>
    <x:row r="11">
      <x:c r="A11" s="144" t="n">
        <x:v>4</x:v>
      </x:c>
      <x:c r="B11" s="145" t="str">
        <x:f>INDEX('讲者总览'!$C$2:$C$59,MATCH(C11,'讲者总览'!$L$2:$L$59,0))</x:f>
        <x:v>Eli Schwartz</x:v>
      </x:c>
      <x:c r="C11" s="146" t="n">
        <x:f>LARGE('讲者总览'!$L$2:$L$59,A11)</x:f>
        <x:v>34400</x:v>
      </x:c>
      <x:c r="D11" s="139"/>
      <x:c r="E11" s="139"/>
      <x:c r="F11" s="139"/>
      <x:c r="G11" s="139"/>
      <x:c r="H11" s="139"/>
      <x:c r="I11" s="139"/>
      <x:c r="J11" s="139"/>
    </x:row>
    <x:row r="12">
      <x:c r="A12" s="144" t="n">
        <x:v>5</x:v>
      </x:c>
      <x:c r="B12" s="145" t="str">
        <x:f>INDEX('讲者总览'!$C$2:$C$59,MATCH(C12,'讲者总览'!$L$2:$L$59,0))</x:f>
        <x:v>Marc Moeller</x:v>
      </x:c>
      <x:c r="C12" s="146" t="n">
        <x:f>LARGE('讲者总览'!$L$2:$L$59,A12)</x:f>
        <x:v>28100</x:v>
      </x:c>
      <x:c r="D12" s="139"/>
      <x:c r="E12" s="151" t="str">
        <x:v>*“公开受众合计”只累加 X 粉丝与 YouTube 订阅，不代表去重后的独立人数，也不包含 LinkedIn。用于判断公开可见的相对受众规模，不宜当作跨平台唯一受众。</x:v>
      </x:c>
      <x:c r="F12" s="152"/>
      <x:c r="G12" s="152"/>
      <x:c r="H12" s="152"/>
      <x:c r="I12" s="152"/>
      <x:c r="J12" s="153"/>
    </x:row>
    <x:row r="13">
      <x:c r="A13" s="144" t="n">
        <x:v>6</x:v>
      </x:c>
      <x:c r="B13" s="145" t="str">
        <x:f>INDEX('讲者总览'!$C$2:$C$59,MATCH(C13,'讲者总览'!$L$2:$L$59,0))</x:f>
        <x:v>Jamie I.F.</x:v>
      </x:c>
      <x:c r="C13" s="146" t="n">
        <x:f>LARGE('讲者总览'!$L$2:$L$59,A13)</x:f>
        <x:v>27490</x:v>
      </x:c>
      <x:c r="D13" s="139"/>
      <x:c r="E13" s="154"/>
      <x:c r="F13" s="155"/>
      <x:c r="G13" s="155"/>
      <x:c r="H13" s="155"/>
      <x:c r="I13" s="155"/>
      <x:c r="J13" s="156"/>
    </x:row>
    <x:row r="14">
      <x:c r="A14" s="144" t="n">
        <x:v>7</x:v>
      </x:c>
      <x:c r="B14" s="145" t="str">
        <x:f>INDEX('讲者总览'!$C$2:$C$59,MATCH(C14,'讲者总览'!$L$2:$L$59,0))</x:f>
        <x:v>Roger Yin</x:v>
      </x:c>
      <x:c r="C14" s="146" t="n">
        <x:f>LARGE('讲者总览'!$L$2:$L$59,A14)</x:f>
        <x:v>15740</x:v>
      </x:c>
      <x:c r="D14" s="139"/>
      <x:c r="E14" s="157"/>
      <x:c r="F14" s="158"/>
      <x:c r="G14" s="158"/>
      <x:c r="H14" s="158"/>
      <x:c r="I14" s="158"/>
      <x:c r="J14" s="159"/>
    </x:row>
    <x:row r="15">
      <x:c r="A15" s="144" t="n">
        <x:v>8</x:v>
      </x:c>
      <x:c r="B15" s="145" t="str">
        <x:f>INDEX('讲者总览'!$C$2:$C$59,MATCH(C15,'讲者总览'!$L$2:$L$59,0))</x:f>
        <x:v>Johann Sathianathen</x:v>
      </x:c>
      <x:c r="C15" s="146" t="n">
        <x:f>LARGE('讲者总览'!$L$2:$L$59,A15)</x:f>
        <x:v>11190</x:v>
      </x:c>
      <x:c r="D15" s="139"/>
      <x:c r="E15" s="139"/>
      <x:c r="F15" s="139"/>
      <x:c r="G15" s="139"/>
      <x:c r="H15" s="139"/>
      <x:c r="I15" s="139"/>
      <x:c r="J15" s="139"/>
    </x:row>
    <x:row r="16">
      <x:c r="A16" s="144" t="n">
        <x:v>9</x:v>
      </x:c>
      <x:c r="B16" s="145" t="str">
        <x:f>INDEX('讲者总览'!$C$2:$C$59,MATCH(C16,'讲者总览'!$L$2:$L$59,0))</x:f>
        <x:v>Sasha Gusain</x:v>
      </x:c>
      <x:c r="C16" s="146" t="n">
        <x:f>LARGE('讲者总览'!$L$2:$L$59,A16)</x:f>
        <x:v>5576</x:v>
      </x:c>
      <x:c r="D16" s="139"/>
      <x:c r="E16" s="139"/>
      <x:c r="F16" s="139"/>
      <x:c r="G16" s="139"/>
      <x:c r="H16" s="139"/>
      <x:c r="I16" s="139"/>
      <x:c r="J16" s="139"/>
    </x:row>
    <x:row r="17">
      <x:c r="A17" s="148" t="n">
        <x:v>10</x:v>
      </x:c>
      <x:c r="B17" s="149" t="str">
        <x:f>INDEX('讲者总览'!$C$2:$C$59,MATCH(C17,'讲者总览'!$L$2:$L$59,0))</x:f>
        <x:v>Nik Ranger</x:v>
      </x:c>
      <x:c r="C17" s="160" t="n">
        <x:f>LARGE('讲者总览'!$L$2:$L$59,A17)</x:f>
        <x:v>4720</x:v>
      </x:c>
      <x:c r="D17" s="139"/>
      <x:c r="E17" s="139"/>
      <x:c r="F17" s="139"/>
      <x:c r="G17" s="139"/>
      <x:c r="H17" s="139"/>
      <x:c r="I17" s="139"/>
      <x:c r="J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</x:row>
    <x:row r="19">
      <x:c r="A19" s="161" t="str">
        <x:v>使用建议：先按“公开受众合计”筛选传播影响力，再结合“议程类型、职位与个人简介”判断合作匹配度；完整账号 URL 与逐条核对状态见“账号明细”。</x:v>
      </x:c>
      <x:c r="B19" s="162"/>
      <x:c r="C19" s="162"/>
      <x:c r="D19" s="162"/>
      <x:c r="E19" s="162"/>
      <x:c r="F19" s="162"/>
      <x:c r="G19" s="162"/>
      <x:c r="H19" s="162"/>
      <x:c r="I19" s="162"/>
      <x:c r="J19" s="163"/>
    </x:row>
    <x:row r="20">
      <x:c r="A20" s="164"/>
      <x:c r="B20" s="165"/>
      <x:c r="C20" s="165"/>
      <x:c r="D20" s="165"/>
      <x:c r="E20" s="165"/>
      <x:c r="F20" s="165"/>
      <x:c r="G20" s="165"/>
      <x:c r="H20" s="165"/>
      <x:c r="I20" s="165"/>
      <x:c r="J20" s="166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6:C6"/>
    <x:mergeCell ref="E6:H6"/>
    <x:mergeCell ref="E12:J14"/>
    <x:mergeCell ref="A19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0" hidden="0" customWidth="1"/>
    <x:col min="4" max="4" width="31" hidden="0" customWidth="1"/>
    <x:col min="5" max="5" width="54" hidden="0" customWidth="1"/>
    <x:col min="6" max="6" width="38" hidden="0" customWidth="1"/>
    <x:col min="7" max="7" width="14" hidden="0" customWidth="1"/>
    <x:col min="8" max="8" width="28" hidden="0" customWidth="1"/>
    <x:col min="9" max="9" width="12" hidden="0" customWidth="1"/>
    <x:col min="10" max="10" width="38" hidden="0" customWidth="1"/>
    <x:col min="11" max="11" width="14" hidden="0" customWidth="1"/>
    <x:col min="12" max="12" width="14" hidden="0" customWidth="1"/>
    <x:col min="13" max="13" width="43" hidden="0" customWidth="1"/>
    <x:col min="14" max="14" width="35" hidden="0" customWidth="1"/>
  </x:cols>
  <x:sheetData>
    <x:row r="1" ht="34" customHeight="1">
      <x:c r="A1" s="167" t="str">
        <x:v>序号</x:v>
      </x:c>
      <x:c r="B1" s="167" t="str">
        <x:v>议程类型</x:v>
      </x:c>
      <x:c r="C1" s="167" t="str">
        <x:v>姓名</x:v>
      </x:c>
      <x:c r="D1" s="167" t="str">
        <x:v>职位 / 机构</x:v>
      </x:c>
      <x:c r="E1" s="167" t="str">
        <x:v>个人简介（中文简述）</x:v>
      </x:c>
      <x:c r="F1" s="167" t="str">
        <x:v>LinkedIn</x:v>
      </x:c>
      <x:c r="G1" s="167" t="str">
        <x:v>LinkedIn 粉丝</x:v>
      </x:c>
      <x:c r="H1" s="167" t="str">
        <x:v>X</x:v>
      </x:c>
      <x:c r="I1" s="167" t="str">
        <x:v>X 粉丝</x:v>
      </x:c>
      <x:c r="J1" s="167" t="str">
        <x:v>YouTube</x:v>
      </x:c>
      <x:c r="K1" s="167" t="str">
        <x:v>YouTube 订阅</x:v>
      </x:c>
      <x:c r="L1" s="167" t="str">
        <x:v>公开可核实受众</x:v>
      </x:c>
      <x:c r="M1" s="167" t="str">
        <x:v>官网个人页</x:v>
      </x:c>
      <x:c r="N1" s="167" t="str">
        <x:v>备注</x:v>
      </x:c>
    </x:row>
    <x:row r="2" ht="56" customHeight="1">
      <x:c r="A2" s="168" t="n">
        <x:v>1</x:v>
      </x:c>
      <x:c r="B2" s="168" t="str">
        <x:v>Keynote</x:v>
      </x:c>
      <x:c r="C2" s="168" t="str">
        <x:v>Lily Ray</x:v>
      </x:c>
      <x:c r="D2" s="168" t="str">
        <x:v>VP of SEO Strategy &amp; Research, Amsive</x:v>
      </x:c>
      <x:c r="E2" s="169" t="str">
        <x:v>Amsive SEO 战略与研究副总裁，2010 年进入 SEO 行业，擅长算法更新、站点质量评估、技术 SEO，以及零售、电商、B2B 和 CPG 网站增长。</x:v>
      </x:c>
      <x:c r="F2" s="168" t="str">
        <x:v>https://www.linkedin.com/in/lily-ray-44755615/</x:v>
      </x:c>
      <x:c r="G2" s="170"/>
      <x:c r="H2" s="168" t="str">
        <x:v>https://x.com/lilyraynyc</x:v>
      </x:c>
      <x:c r="I2" s="170" t="n">
        <x:v>122900</x:v>
      </x:c>
      <x:c r="J2" s="168" t="str">
        <x:v>https://www.youtube.com/@lilyray</x:v>
      </x:c>
      <x:c r="K2" s="170" t="n">
        <x:v>3370</x:v>
      </x:c>
      <x:c r="L2" s="170" t="n">
        <x:f>SUM(G2,I2,K2)</x:f>
        <x:v>126270</x:v>
      </x:c>
      <x:c r="M2" s="168" t="str">
        <x:v>https://shenzhenseoconference.com/speakers/lily-ray</x:v>
      </x:c>
      <x:c r="N2" s="171" t="str">
        <x:v>LinkedIn 粉丝数受登录墙限制；未纳入公开受众合计</x:v>
      </x:c>
    </x:row>
    <x:row r="3" ht="56" customHeight="1">
      <x:c r="A3" s="168" t="n">
        <x:v>2</x:v>
      </x:c>
      <x:c r="B3" s="168" t="str">
        <x:v>Keynote</x:v>
      </x:c>
      <x:c r="C3" s="168" t="str">
        <x:v>Gary Illyes</x:v>
      </x:c>
      <x:c r="D3" s="168" t="str">
        <x:v>Analyst, Google Search</x:v>
      </x:c>
      <x:c r="E3" s="169" t="str">
        <x:v>Google Search Relations 分析师，长期讲解抓取、索引、渲染和技术优化；共同制定 RFC 9309 Robots Exclusion Protocol，并主持 Search Off the Record 播客。</x:v>
      </x:c>
      <x:c r="F3" s="168" t="str">
        <x:v>https://www.linkedin.com/in/garyillyes/</x:v>
      </x:c>
      <x:c r="G3" s="170"/>
      <x:c r="H3" s="168" t="str">
        <x:v>https://x.com/methode</x:v>
      </x:c>
      <x:c r="I3" s="170" t="n">
        <x:v>43800</x:v>
      </x:c>
      <x:c r="J3" s="168" t="str"/>
      <x:c r="K3" s="170"/>
      <x:c r="L3" s="170" t="n">
        <x:f>SUM(G3,I3,K3)</x:f>
        <x:v>43800</x:v>
      </x:c>
      <x:c r="M3" s="168" t="str">
        <x:v>https://shenzhenseoconference.com/speakers/gary-illyes</x:v>
      </x:c>
      <x:c r="N3" s="171" t="str">
        <x:v>LinkedIn 粉丝数受登录墙限制；未纳入公开受众合计</x:v>
      </x:c>
    </x:row>
    <x:row r="4" ht="56" customHeight="1">
      <x:c r="A4" s="168" t="n">
        <x:v>3</x:v>
      </x:c>
      <x:c r="B4" s="168" t="str">
        <x:v>Keynote</x:v>
      </x:c>
      <x:c r="C4" s="168" t="str">
        <x:v>Eli Schwartz</x:v>
      </x:c>
      <x:c r="D4" s="168" t="str">
        <x:v>Author, Product-Led SEO</x:v>
      </x:c>
      <x:c r="E4" s="169" t="str">
        <x:v>数字营销顾问及《Product-Led SEO》作者，帮助 LinkedIn、Tinder、WordPress、Quora、Coinbase 等公司从传统 SEO 转向产品驱动的有机增长。</x:v>
      </x:c>
      <x:c r="F4" s="168" t="str">
        <x:v>https://www.linkedin.com/in/schwartze/</x:v>
      </x:c>
      <x:c r="G4" s="170"/>
      <x:c r="H4" s="168" t="str">
        <x:v>https://x.com/5le</x:v>
      </x:c>
      <x:c r="I4" s="170" t="n">
        <x:v>34400</x:v>
      </x:c>
      <x:c r="J4" s="168" t="str"/>
      <x:c r="K4" s="170"/>
      <x:c r="L4" s="170" t="n">
        <x:f>SUM(G4,I4,K4)</x:f>
        <x:v>34400</x:v>
      </x:c>
      <x:c r="M4" s="168" t="str">
        <x:v>https://shenzhenseoconference.com/speakers/eli-schwartz</x:v>
      </x:c>
      <x:c r="N4" s="171" t="str">
        <x:v>LinkedIn 粉丝数受登录墙限制；未纳入公开受众合计</x:v>
      </x:c>
    </x:row>
    <x:row r="5" ht="56" customHeight="1">
      <x:c r="A5" s="168" t="n">
        <x:v>4</x:v>
      </x:c>
      <x:c r="B5" s="168" t="str">
        <x:v>Keynote</x:v>
      </x:c>
      <x:c r="C5" s="168" t="str">
        <x:v>Sasha Gusain</x:v>
      </x:c>
      <x:c r="D5" s="168" t="str">
        <x:v>Head of Logged Out Experience, Canva</x:v>
      </x:c>
      <x:c r="E5" s="169" t="str">
        <x:v>负责 Canva 未登录体验与有机增长，统筹 SEO、AI 发现、首页、认证和市场增长，曾推动覆盖 40 个市场的国际化产品增长系统。</x:v>
      </x:c>
      <x:c r="F5" s="168" t="str">
        <x:v>https://www.linkedin.com/in/sashagusain/</x:v>
      </x:c>
      <x:c r="G5" s="170"/>
      <x:c r="H5" s="168" t="str">
        <x:v>https://x.com/SashG</x:v>
      </x:c>
      <x:c r="I5" s="170" t="n">
        <x:v>5576</x:v>
      </x:c>
      <x:c r="J5" s="168" t="str"/>
      <x:c r="K5" s="170"/>
      <x:c r="L5" s="170" t="n">
        <x:f>SUM(G5,I5,K5)</x:f>
        <x:v>5576</x:v>
      </x:c>
      <x:c r="M5" s="168" t="str">
        <x:v>https://shenzhenseoconference.com/speakers/sasha-gusain</x:v>
      </x:c>
      <x:c r="N5" s="171" t="str">
        <x:v>LinkedIn 粉丝数受登录墙限制；未纳入公开受众合计</x:v>
      </x:c>
    </x:row>
    <x:row r="6" ht="56" customHeight="1">
      <x:c r="A6" s="168" t="n">
        <x:v>5</x:v>
      </x:c>
      <x:c r="B6" s="168" t="str">
        <x:v>Keynote</x:v>
      </x:c>
      <x:c r="C6" s="168" t="str">
        <x:v>Lars Lofgren</x:v>
      </x:c>
      <x:c r="D6" s="168" t="str">
        <x:v>Fractional VP of Marketing</x:v>
      </x:c>
      <x:c r="E6" s="169" t="str">
        <x:v>增长与内容营销负责人，曾联合创办 SEO 联盟业务并在 3 年内做到年收入 720 万美元；现为 Perplexity、Automattic、NP Digital 等提供顾问服务。</x:v>
      </x:c>
      <x:c r="F6" s="168" t="str">
        <x:v>https://www.linkedin.com/in/larslofgren</x:v>
      </x:c>
      <x:c r="G6" s="170"/>
      <x:c r="H6" s="168" t="str">
        <x:v>https://x.com/LarsLofgren</x:v>
      </x:c>
      <x:c r="I6" s="170" t="n">
        <x:v>4207</x:v>
      </x:c>
      <x:c r="J6" s="168" t="str"/>
      <x:c r="K6" s="170"/>
      <x:c r="L6" s="170" t="n">
        <x:f>SUM(G6,I6,K6)</x:f>
        <x:v>4207</x:v>
      </x:c>
      <x:c r="M6" s="168" t="str">
        <x:v>https://shenzhenseoconference.com/speakers/lars-lofgren</x:v>
      </x:c>
      <x:c r="N6" s="171" t="str">
        <x:v>LinkedIn 粉丝数受登录墙限制；未纳入公开受众合计</x:v>
      </x:c>
    </x:row>
    <x:row r="7" ht="56" customHeight="1">
      <x:c r="A7" s="168" t="n">
        <x:v>6</x:v>
      </x:c>
      <x:c r="B7" s="168" t="str">
        <x:v>Workshop</x:v>
      </x:c>
      <x:c r="C7" s="168" t="str">
        <x:v>Marc Moeller</x:v>
      </x:c>
      <x:c r="D7" s="168" t="str">
        <x:v>Founder, Ecomexperts</x:v>
      </x:c>
      <x:c r="E7" s="169" t="str">
        <x:v>Ecomexperts 创始人，拥有 10 年以上 B2B、游戏与 SaaS SEO 经验，侧重技术诊断、内容系统、流程模板和可落地 SOP。</x:v>
      </x:c>
      <x:c r="F7" s="168" t="str">
        <x:v>https://www.linkedin.com/in/marcmoeller-seo/</x:v>
      </x:c>
      <x:c r="G7" s="170"/>
      <x:c r="H7" s="168" t="str"/>
      <x:c r="I7" s="170"/>
      <x:c r="J7" s="168" t="str">
        <x:v>https://www.youtube.com/@moellerseo</x:v>
      </x:c>
      <x:c r="K7" s="170" t="n">
        <x:v>28100</x:v>
      </x:c>
      <x:c r="L7" s="170" t="n">
        <x:f>SUM(G7,I7,K7)</x:f>
        <x:v>28100</x:v>
      </x:c>
      <x:c r="M7" s="168" t="str">
        <x:v>https://shenzhenseoconference.com/speakers/marc-moeller</x:v>
      </x:c>
      <x:c r="N7" s="171" t="str">
        <x:v>LinkedIn 粉丝数受登录墙限制；未纳入公开受众合计</x:v>
      </x:c>
    </x:row>
    <x:row r="8" ht="56" customHeight="1">
      <x:c r="A8" s="168" t="n">
        <x:v>7</x:v>
      </x:c>
      <x:c r="B8" s="168" t="str">
        <x:v>Workshop</x:v>
      </x:c>
      <x:c r="C8" s="168" t="str">
        <x:v>Tom Qiao</x:v>
      </x:c>
      <x:c r="D8" s="168" t="str">
        <x:v>Founder, Convert Better</x:v>
      </x:c>
      <x:c r="E8" s="169" t="str">
        <x:v>Convert Better 创始人，通过用户行为分析和 A/B 测试为 B2B、B2C/DTC 与 SaaS 品牌提升转化率和营销盈利能力。</x:v>
      </x:c>
      <x:c r="F8" s="168" t="str">
        <x:v>https://www.linkedin.com/in/tomqiao/</x:v>
      </x:c>
      <x:c r="G8" s="170"/>
      <x:c r="H8" s="168" t="str"/>
      <x:c r="I8" s="170"/>
      <x:c r="J8" s="168" t="str"/>
      <x:c r="K8" s="170"/>
      <x:c r="L8" s="170" t="n">
        <x:f>SUM(G8,I8,K8)</x:f>
        <x:v>0</x:v>
      </x:c>
      <x:c r="M8" s="168" t="str">
        <x:v>https://shenzhenseoconference.com/speakers/tom-qiao</x:v>
      </x:c>
      <x:c r="N8" s="171" t="str">
        <x:v>LinkedIn 粉丝数受登录墙限制；未纳入公开受众合计</x:v>
      </x:c>
    </x:row>
    <x:row r="9" ht="56" customHeight="1">
      <x:c r="A9" s="168" t="n">
        <x:v>8</x:v>
      </x:c>
      <x:c r="B9" s="168" t="str">
        <x:v>Workshop</x:v>
      </x:c>
      <x:c r="C9" s="168" t="str">
        <x:v>Jessica Malnik</x:v>
      </x:c>
      <x:c r="D9" s="168" t="str">
        <x:v>Founder, Remote Work Tribe &amp; Clarity Briefs</x:v>
      </x:c>
      <x:c r="E9" s="169" t="str">
        <x:v>专注 B2B 定位、价值主张与转化文案，帮助企业修复影响增长的信息传达问题，并把网站、内容和营销活动转化为合格商机。</x:v>
      </x:c>
      <x:c r="F9" s="168" t="str">
        <x:v>https://www.linkedin.com/in/jessicamalnik</x:v>
      </x:c>
      <x:c r="G9" s="170"/>
      <x:c r="H9" s="168" t="str">
        <x:v>https://x.com/jessicamalnik</x:v>
      </x:c>
      <x:c r="I9" s="170" t="n">
        <x:v>4580</x:v>
      </x:c>
      <x:c r="J9" s="168" t="str">
        <x:v>https://www.youtube.com/@JMalnik</x:v>
      </x:c>
      <x:c r="K9" s="170" t="n">
        <x:v>129</x:v>
      </x:c>
      <x:c r="L9" s="170" t="n">
        <x:f>SUM(G9,I9,K9)</x:f>
        <x:v>4709</x:v>
      </x:c>
      <x:c r="M9" s="168" t="str">
        <x:v>https://shenzhenseoconference.com/speakers/jessica-malnik</x:v>
      </x:c>
      <x:c r="N9" s="171" t="str">
        <x:v>LinkedIn 粉丝数受登录墙限制；未纳入公开受众合计</x:v>
      </x:c>
    </x:row>
    <x:row r="10" ht="56" customHeight="1">
      <x:c r="A10" s="168" t="n">
        <x:v>9</x:v>
      </x:c>
      <x:c r="B10" s="168" t="str">
        <x:v>Workshop</x:v>
      </x:c>
      <x:c r="C10" s="168" t="str">
        <x:v>Zack Franklin</x:v>
      </x:c>
      <x:c r="D10" s="168" t="str">
        <x:v>Founder, SmartEcomSEO</x:v>
      </x:c>
      <x:c r="E10" s="169" t="str">
        <x:v>SmartEcomSEO 创始人，深耕深圳与跨境电商 SEO 约 10 年，服务多家高营收电商品牌，同时实践 AI 自动化并组织深圳营销社群。</x:v>
      </x:c>
      <x:c r="F10" s="168" t="str">
        <x:v>https://www.linkedin.com/in/zackjf/</x:v>
      </x:c>
      <x:c r="G10" s="170"/>
      <x:c r="H10" s="168" t="str"/>
      <x:c r="I10" s="170"/>
      <x:c r="J10" s="168" t="str"/>
      <x:c r="K10" s="170"/>
      <x:c r="L10" s="170" t="n">
        <x:f>SUM(G10,I10,K10)</x:f>
        <x:v>0</x:v>
      </x:c>
      <x:c r="M10" s="168" t="str">
        <x:v>https://shenzhenseoconference.com/speakers/zack-franklin</x:v>
      </x:c>
      <x:c r="N10" s="171" t="str">
        <x:v>LinkedIn 粉丝数受登录墙限制；未纳入公开受众合计</x:v>
      </x:c>
    </x:row>
    <x:row r="11" ht="56" customHeight="1">
      <x:c r="A11" s="168" t="n">
        <x:v>10</x:v>
      </x:c>
      <x:c r="B11" s="168" t="str">
        <x:v>Field Talk</x:v>
      </x:c>
      <x:c r="C11" s="168" t="str">
        <x:v>Nick Drewe</x:v>
      </x:c>
      <x:c r="D11" s="168" t="str">
        <x:v>Founder &amp; CEO, Wethrift</x:v>
      </x:c>
      <x:c r="E11" s="169" t="str">
        <x:v>全球优惠券平台 Wethrift 创始人兼 CEO，自 2018 年起通过 SEO、产品驱动增长和可规模化的优惠数据系统拓展业务。</x:v>
      </x:c>
      <x:c r="F11" s="168" t="str">
        <x:v>https://www.linkedin.com/in/nickdrewe/</x:v>
      </x:c>
      <x:c r="G11" s="170"/>
      <x:c r="H11" s="168" t="str"/>
      <x:c r="I11" s="170"/>
      <x:c r="J11" s="168" t="str"/>
      <x:c r="K11" s="170"/>
      <x:c r="L11" s="170" t="n">
        <x:f>SUM(G11,I11,K11)</x:f>
        <x:v>0</x:v>
      </x:c>
      <x:c r="M11" s="168" t="str">
        <x:v>https://shenzhenseoconference.com/speakers/nick-drewe</x:v>
      </x:c>
      <x:c r="N11" s="171" t="str">
        <x:v>LinkedIn 粉丝数受登录墙限制；未纳入公开受众合计</x:v>
      </x:c>
    </x:row>
    <x:row r="12" ht="56" customHeight="1">
      <x:c r="A12" s="168" t="n">
        <x:v>11</x:v>
      </x:c>
      <x:c r="B12" s="168" t="str">
        <x:v>Field Talk</x:v>
      </x:c>
      <x:c r="C12" s="168" t="str">
        <x:v>Josh Blyskal</x:v>
      </x:c>
      <x:c r="D12" s="168" t="str">
        <x:v>AI Strategy &amp; Research, Profound</x:v>
      </x:c>
      <x:c r="E12" s="169" t="str">
        <x:v>Profound AI 战略与研究负责人，研究了超过 2.5 亿条 AI 搜索响应，并打造 AI Search Grader，为大型品牌制定 AI 可见性策略。</x:v>
      </x:c>
      <x:c r="F12" s="168" t="str">
        <x:v>https://www.linkedin.com/in/joshua-blyskal/</x:v>
      </x:c>
      <x:c r="G12" s="170"/>
      <x:c r="H12" s="168" t="str">
        <x:v>https://x.com/JBlyskal</x:v>
      </x:c>
      <x:c r="I12" s="170" t="n">
        <x:v>178</x:v>
      </x:c>
      <x:c r="J12" s="168" t="str"/>
      <x:c r="K12" s="170"/>
      <x:c r="L12" s="170" t="n">
        <x:f>SUM(G12,I12,K12)</x:f>
        <x:v>178</x:v>
      </x:c>
      <x:c r="M12" s="168" t="str">
        <x:v>https://shenzhenseoconference.com/speakers/josh-blyskal</x:v>
      </x:c>
      <x:c r="N12" s="171" t="str">
        <x:v>LinkedIn 粉丝数受登录墙限制；未纳入公开受众合计</x:v>
      </x:c>
    </x:row>
    <x:row r="13" ht="56" customHeight="1">
      <x:c r="A13" s="168" t="n">
        <x:v>12</x:v>
      </x:c>
      <x:c r="B13" s="168" t="str">
        <x:v>Field Talk</x:v>
      </x:c>
      <x:c r="C13" s="168" t="str">
        <x:v>Nik Ranger</x:v>
      </x:c>
      <x:c r="D13" s="168" t="str">
        <x:v>Senior Growth Consultant, Dejan</x:v>
      </x:c>
      <x:c r="E13" s="169" t="str">
        <x:v>Dejan 高级增长顾问及 SEO Collective Australia 创始人，擅长把技术数据和用户行为转化为企业、SaaS、电商与 B2B/B2C 的全生命周期增长。</x:v>
      </x:c>
      <x:c r="F13" s="168" t="str">
        <x:v>https://www.linkedin.com/in/nik-ranger/</x:v>
      </x:c>
      <x:c r="G13" s="170"/>
      <x:c r="H13" s="168" t="str">
        <x:v>https://x.com/nikrangerseo</x:v>
      </x:c>
      <x:c r="I13" s="170" t="n">
        <x:v>4720</x:v>
      </x:c>
      <x:c r="J13" s="168" t="str"/>
      <x:c r="K13" s="170"/>
      <x:c r="L13" s="170" t="n">
        <x:f>SUM(G13,I13,K13)</x:f>
        <x:v>4720</x:v>
      </x:c>
      <x:c r="M13" s="168" t="str">
        <x:v>https://shenzhenseoconference.com/speakers/nik-ranger</x:v>
      </x:c>
      <x:c r="N13" s="171" t="str">
        <x:v>LinkedIn 粉丝数受登录墙限制；未纳入公开受众合计</x:v>
      </x:c>
    </x:row>
    <x:row r="14" ht="56" customHeight="1">
      <x:c r="A14" s="168" t="n">
        <x:v>13</x:v>
      </x:c>
      <x:c r="B14" s="168" t="str">
        <x:v>Field Talk</x:v>
      </x:c>
      <x:c r="C14" s="168" t="str">
        <x:v>Si Quan Ong</x:v>
      </x:c>
      <x:c r="D14" s="168" t="str">
        <x:v>Senior Content Marketer, Ahrefs</x:v>
      </x:c>
      <x:c r="E14" s="169" t="str">
        <x:v>Ahrefs 高级内容营销人员，专注产出帮助营销者提升工作的实用内容，并负责策划 Ahrefs 每周行业通讯 Ahrefs' Digest。</x:v>
      </x:c>
      <x:c r="F14" s="168" t="str">
        <x:v>https://www.linkedin.com/in/si-quan-ong/</x:v>
      </x:c>
      <x:c r="G14" s="170"/>
      <x:c r="H14" s="168" t="str">
        <x:v>https://x.com/siquanong</x:v>
      </x:c>
      <x:c r="I14" s="170" t="n">
        <x:v>3570</x:v>
      </x:c>
      <x:c r="J14" s="168" t="str"/>
      <x:c r="K14" s="170"/>
      <x:c r="L14" s="170" t="n">
        <x:f>SUM(G14,I14,K14)</x:f>
        <x:v>3570</x:v>
      </x:c>
      <x:c r="M14" s="168" t="str">
        <x:v>https://shenzhenseoconference.com/speakers/si-quan-ong</x:v>
      </x:c>
      <x:c r="N14" s="171" t="str">
        <x:v>LinkedIn 粉丝数受登录墙限制；未纳入公开受众合计</x:v>
      </x:c>
    </x:row>
    <x:row r="15" ht="56" customHeight="1">
      <x:c r="A15" s="168" t="n">
        <x:v>14</x:v>
      </x:c>
      <x:c r="B15" s="168" t="str">
        <x:v>Field Talk</x:v>
      </x:c>
      <x:c r="C15" s="168" t="str">
        <x:v>Loki Yan</x:v>
      </x:c>
      <x:c r="D15" s="168" t="str">
        <x:v>Co-founder, First Optimise (壹优化)</x:v>
      </x:c>
      <x:c r="E15" s="169" t="str">
        <x:v>壹优化联合创始人，专长复杂技术架构、国际 SEO 与 GEO；曾在 Google Search Central Live、Ahrefs Evolve 等活动分享。</x:v>
      </x:c>
      <x:c r="F15" s="168" t="str">
        <x:v>https://www.linkedin.com/in/xinyuan-loki-y-86aa1456/</x:v>
      </x:c>
      <x:c r="G15" s="170"/>
      <x:c r="H15" s="168" t="str"/>
      <x:c r="I15" s="170"/>
      <x:c r="J15" s="168" t="str">
        <x:v>https://www.youtube.com/@seolokiyan</x:v>
      </x:c>
      <x:c r="K15" s="170" t="n">
        <x:v>28</x:v>
      </x:c>
      <x:c r="L15" s="170" t="n">
        <x:f>SUM(G15,I15,K15)</x:f>
        <x:v>28</x:v>
      </x:c>
      <x:c r="M15" s="168" t="str">
        <x:v>https://shenzhenseoconference.com/speakers/loki-yan</x:v>
      </x:c>
      <x:c r="N15" s="171" t="str">
        <x:v>LinkedIn 粉丝数受登录墙限制；未纳入公开受众合计</x:v>
      </x:c>
    </x:row>
    <x:row r="16" ht="56" customHeight="1">
      <x:c r="A16" s="168" t="n">
        <x:v>15</x:v>
      </x:c>
      <x:c r="B16" s="168" t="str">
        <x:v>Field Talk</x:v>
      </x:c>
      <x:c r="C16" s="168" t="str">
        <x:v>Doug Pierce</x:v>
      </x:c>
      <x:c r="D16" s="168" t="str">
        <x:v>Founder, Cogney</x:v>
      </x:c>
      <x:c r="E16" s="169" t="str">
        <x:v>香港数字营销顾问公司 Cogney 创始人，拥有 15 年 B2B、SaaS 与电商 SEO 经验，帮助 100 多家公司获得高竞争关键词首页排名。</x:v>
      </x:c>
      <x:c r="F16" s="168" t="str">
        <x:v>https://www.linkedin.com/in/douglasapierce/</x:v>
      </x:c>
      <x:c r="G16" s="170"/>
      <x:c r="H16" s="168" t="str"/>
      <x:c r="I16" s="170"/>
      <x:c r="J16" s="168" t="str"/>
      <x:c r="K16" s="170"/>
      <x:c r="L16" s="170" t="n">
        <x:f>SUM(G16,I16,K16)</x:f>
        <x:v>0</x:v>
      </x:c>
      <x:c r="M16" s="168" t="str">
        <x:v>https://shenzhenseoconference.com/speakers/doug-pierce</x:v>
      </x:c>
      <x:c r="N16" s="171" t="str">
        <x:v>LinkedIn 粉丝数受登录墙限制；未纳入公开受众合计</x:v>
      </x:c>
    </x:row>
    <x:row r="17" ht="56" customHeight="1">
      <x:c r="A17" s="168" t="n">
        <x:v>16</x:v>
      </x:c>
      <x:c r="B17" s="168" t="str">
        <x:v>Field Talk</x:v>
      </x:c>
      <x:c r="C17" s="168" t="str">
        <x:v>Mao Kawana</x:v>
      </x:c>
      <x:c r="D17" s="168" t="str">
        <x:v>Project Manager, Faber Company</x:v>
      </x:c>
      <x:c r="E17" s="169" t="str">
        <x:v>Faber Company 项目经理，负责大型网站改版，从战略规划到执行落地，并把技术 SEO 与高层营销策略结合以推动长期数字增长。</x:v>
      </x:c>
      <x:c r="F17" s="168" t="str">
        <x:v>https://www.linkedin.com/in/maokawana/</x:v>
      </x:c>
      <x:c r="G17" s="170"/>
      <x:c r="H17" s="168" t="str"/>
      <x:c r="I17" s="170"/>
      <x:c r="J17" s="168" t="str"/>
      <x:c r="K17" s="170"/>
      <x:c r="L17" s="170" t="n">
        <x:f>SUM(G17,I17,K17)</x:f>
        <x:v>0</x:v>
      </x:c>
      <x:c r="M17" s="168" t="str">
        <x:v>https://shenzhenseoconference.com/speakers/mao-kawana</x:v>
      </x:c>
      <x:c r="N17" s="171" t="str">
        <x:v>LinkedIn 粉丝数受登录墙限制；未纳入公开受众合计</x:v>
      </x:c>
    </x:row>
    <x:row r="18" ht="56" customHeight="1">
      <x:c r="A18" s="168" t="n">
        <x:v>17</x:v>
      </x:c>
      <x:c r="B18" s="168" t="str">
        <x:v>Field Talk</x:v>
      </x:c>
      <x:c r="C18" s="168" t="str">
        <x:v>Polina Kogan</x:v>
      </x:c>
      <x:c r="D18" s="168" t="str">
        <x:v>SEO Consultant, Ayudante</x:v>
      </x:c>
      <x:c r="E18" s="169" t="str">
        <x:v>Ayudante 企业 SEO 与分析顾问，专长大型迁移、国际与多语言 SEO，服务日本品牌出海及海外品牌进入日本，并合著三本 SEO/分析书籍。</x:v>
      </x:c>
      <x:c r="F18" s="168" t="str">
        <x:v>https://www.linkedin.com/in/polina-kogan-53965074/</x:v>
      </x:c>
      <x:c r="G18" s="170"/>
      <x:c r="H18" s="168" t="str"/>
      <x:c r="I18" s="170"/>
      <x:c r="J18" s="168" t="str"/>
      <x:c r="K18" s="170"/>
      <x:c r="L18" s="170" t="n">
        <x:f>SUM(G18,I18,K18)</x:f>
        <x:v>0</x:v>
      </x:c>
      <x:c r="M18" s="168" t="str">
        <x:v>https://shenzhenseoconference.com/speakers/polina-kogan</x:v>
      </x:c>
      <x:c r="N18" s="171" t="str">
        <x:v>LinkedIn 粉丝数受登录墙限制；未纳入公开受众合计</x:v>
      </x:c>
    </x:row>
    <x:row r="19" ht="56" customHeight="1">
      <x:c r="A19" s="168" t="n">
        <x:v>18</x:v>
      </x:c>
      <x:c r="B19" s="168" t="str">
        <x:v>Field Talk</x:v>
      </x:c>
      <x:c r="C19" s="168" t="str">
        <x:v>Victor Huynh</x:v>
      </x:c>
      <x:c r="D19" s="168" t="str">
        <x:v>CEO &amp; Head of Digital Strategy, Ready Artwork</x:v>
      </x:c>
      <x:c r="E19" s="169" t="str">
        <x:v>Ready Artwork 联合创始人兼 CEO，拥有 20 多年网站与数字战略经验，主要服务工业制造和高客单 B2B 企业。</x:v>
      </x:c>
      <x:c r="F19" s="168" t="str">
        <x:v>https://www.linkedin.com/in/victor-huynh-581b82/</x:v>
      </x:c>
      <x:c r="G19" s="170"/>
      <x:c r="H19" s="168" t="str"/>
      <x:c r="I19" s="170"/>
      <x:c r="J19" s="168" t="str">
        <x:v>https://www.youtube.com/@ReadyArtwork</x:v>
      </x:c>
      <x:c r="K19" s="170" t="n">
        <x:v>118</x:v>
      </x:c>
      <x:c r="L19" s="170" t="n">
        <x:f>SUM(G19,I19,K19)</x:f>
        <x:v>118</x:v>
      </x:c>
      <x:c r="M19" s="168" t="str">
        <x:v>https://shenzhenseoconference.com/speakers/victor-huynh</x:v>
      </x:c>
      <x:c r="N19" s="171" t="str">
        <x:v>LinkedIn 粉丝数受登录墙限制；未纳入公开受众合计</x:v>
      </x:c>
    </x:row>
    <x:row r="20" ht="56" customHeight="1">
      <x:c r="A20" s="168" t="n">
        <x:v>19</x:v>
      </x:c>
      <x:c r="B20" s="168" t="str">
        <x:v>Field Talk</x:v>
      </x:c>
      <x:c r="C20" s="168" t="str">
        <x:v>Cristina Song</x:v>
      </x:c>
      <x:c r="D20" s="168" t="str">
        <x:v>SEO Lead &amp; Co-Founder, Xpandir</x:v>
      </x:c>
      <x:c r="E20" s="169" t="str">
        <x:v>Xpandir SEO 负责人兼联合创始人，专注韩国、日本及新加坡、香港、台湾、澳新等高购买力 APAC 市场的本地化 SEO。</x:v>
      </x:c>
      <x:c r="F20" s="168" t="str">
        <x:v>https://www.linkedin.com/in/cristinassong/</x:v>
      </x:c>
      <x:c r="G20" s="170"/>
      <x:c r="H20" s="168" t="str"/>
      <x:c r="I20" s="170"/>
      <x:c r="J20" s="168" t="str"/>
      <x:c r="K20" s="170"/>
      <x:c r="L20" s="170" t="n">
        <x:f>SUM(G20,I20,K20)</x:f>
        <x:v>0</x:v>
      </x:c>
      <x:c r="M20" s="168" t="str">
        <x:v>https://shenzhenseoconference.com/speakers/cristina-song</x:v>
      </x:c>
      <x:c r="N20" s="171" t="str">
        <x:v>LinkedIn 粉丝数受登录墙限制；未纳入公开受众合计</x:v>
      </x:c>
    </x:row>
    <x:row r="21" ht="56" customHeight="1">
      <x:c r="A21" s="168" t="n">
        <x:v>20</x:v>
      </x:c>
      <x:c r="B21" s="168" t="str">
        <x:v>Field Talk</x:v>
      </x:c>
      <x:c r="C21" s="168" t="str">
        <x:v>Jiyoung Lee</x:v>
      </x:c>
      <x:c r="D21" s="168" t="str">
        <x:v>Co-Founder &amp; Digital Growth Strategist, Xpandir</x:v>
      </x:c>
      <x:c r="E21" s="169" t="str">
        <x:v>拥有 8 年数字营销经验，帮助全球品牌进入并增长于韩国市场，覆盖本地平台策略、付费投放、SEO 和内容营销。</x:v>
      </x:c>
      <x:c r="F21" s="168" t="str">
        <x:v>https://www.linkedin.com/in/jiyoung-lee-marketing-specialist/</x:v>
      </x:c>
      <x:c r="G21" s="170"/>
      <x:c r="H21" s="168" t="str"/>
      <x:c r="I21" s="170"/>
      <x:c r="J21" s="168" t="str"/>
      <x:c r="K21" s="170"/>
      <x:c r="L21" s="170" t="n">
        <x:f>SUM(G21,I21,K21)</x:f>
        <x:v>0</x:v>
      </x:c>
      <x:c r="M21" s="168" t="str">
        <x:v>https://shenzhenseoconference.com/speakers/jiyoung-lee</x:v>
      </x:c>
      <x:c r="N21" s="171" t="str">
        <x:v>LinkedIn 粉丝数受登录墙限制；未纳入公开受众合计</x:v>
      </x:c>
    </x:row>
    <x:row r="22" ht="56" customHeight="1">
      <x:c r="A22" s="168" t="n">
        <x:v>21</x:v>
      </x:c>
      <x:c r="B22" s="168" t="str">
        <x:v>Field Talk</x:v>
      </x:c>
      <x:c r="C22" s="168" t="str">
        <x:v>Owain Lloyd-Williams</x:v>
      </x:c>
      <x:c r="D22" s="168" t="str">
        <x:v>Independent SEO Consultant</x:v>
      </x:c>
      <x:c r="E22" s="169" t="str">
        <x:v>独立 SEO 顾问，拥有 15 年以上企业级 SEO 和数字战略经验，擅长国际搜索、内容、技术优化及中国 SEO。</x:v>
      </x:c>
      <x:c r="F22" s="168" t="str">
        <x:v>https://www.linkedin.com/in/owain-lloyd-williams-a8967852/</x:v>
      </x:c>
      <x:c r="G22" s="170"/>
      <x:c r="H22" s="168" t="str">
        <x:v>https://x.com/Owain_LW</x:v>
      </x:c>
      <x:c r="I22" s="170" t="n">
        <x:v>574</x:v>
      </x:c>
      <x:c r="J22" s="168" t="str"/>
      <x:c r="K22" s="170"/>
      <x:c r="L22" s="170" t="n">
        <x:f>SUM(G22,I22,K22)</x:f>
        <x:v>574</x:v>
      </x:c>
      <x:c r="M22" s="168" t="str">
        <x:v>https://shenzhenseoconference.com/speakers/owain-lloyd-williams</x:v>
      </x:c>
      <x:c r="N22" s="171" t="str">
        <x:v>LinkedIn 粉丝数受登录墙限制；未纳入公开受众合计</x:v>
      </x:c>
    </x:row>
    <x:row r="23" ht="56" customHeight="1">
      <x:c r="A23" s="168" t="n">
        <x:v>22</x:v>
      </x:c>
      <x:c r="B23" s="168" t="str">
        <x:v>Field Talk</x:v>
      </x:c>
      <x:c r="C23" s="168" t="str">
        <x:v>Sebastien Edgar</x:v>
      </x:c>
      <x:c r="D23" s="168" t="str">
        <x:v>Global VP of Digital Marketing, Liferay</x:v>
      </x:c>
      <x:c r="E23" s="169" t="str">
        <x:v>Liferay 全球数字营销副总裁，领导 SEO、CRO、网站策略、付费媒体、Campaign 和社交增长；曾任 Square 全球有机发现负责人。</x:v>
      </x:c>
      <x:c r="F23" s="168" t="str">
        <x:v>https://www.linkedin.com/in/sebastienedgar/</x:v>
      </x:c>
      <x:c r="G23" s="170"/>
      <x:c r="H23" s="168" t="str"/>
      <x:c r="I23" s="170"/>
      <x:c r="J23" s="168" t="str"/>
      <x:c r="K23" s="170"/>
      <x:c r="L23" s="170" t="n">
        <x:f>SUM(G23,I23,K23)</x:f>
        <x:v>0</x:v>
      </x:c>
      <x:c r="M23" s="168" t="str">
        <x:v>https://shenzhenseoconference.com/speakers/sebastien-edgar</x:v>
      </x:c>
      <x:c r="N23" s="171" t="str">
        <x:v>LinkedIn 粉丝数受登录墙限制；未纳入公开受众合计</x:v>
      </x:c>
    </x:row>
    <x:row r="24" ht="56" customHeight="1">
      <x:c r="A24" s="168" t="n">
        <x:v>23</x:v>
      </x:c>
      <x:c r="B24" s="168" t="str">
        <x:v>Field Talk</x:v>
      </x:c>
      <x:c r="C24" s="168" t="str">
        <x:v>Max Kuch</x:v>
      </x:c>
      <x:c r="D24" s="168" t="str">
        <x:v>Digital Entrepreneur</x:v>
      </x:c>
      <x:c r="E24" s="169" t="str">
        <x:v>德国数字创业者，曾以联盟 SEO 获得月度五至六位数收入，后转型 AI 独立创业，并在 8 个月内将新产品做到月收入 1 万美元以上。</x:v>
      </x:c>
      <x:c r="F24" s="168" t="str">
        <x:v>https://www.linkedin.com/in/maximilian-kuch/</x:v>
      </x:c>
      <x:c r="G24" s="170"/>
      <x:c r="H24" s="168" t="str">
        <x:v>https://x.com/maxkuchcom</x:v>
      </x:c>
      <x:c r="I24" s="170" t="n">
        <x:v>371</x:v>
      </x:c>
      <x:c r="J24" s="168" t="str">
        <x:v>https://www.youtube.com/@maxkuchcom</x:v>
      </x:c>
      <x:c r="K24" s="170" t="n">
        <x:v>188</x:v>
      </x:c>
      <x:c r="L24" s="170" t="n">
        <x:f>SUM(G24,I24,K24)</x:f>
        <x:v>559</x:v>
      </x:c>
      <x:c r="M24" s="168" t="str">
        <x:v>https://shenzhenseoconference.com/speakers/max-kuch</x:v>
      </x:c>
      <x:c r="N24" s="171" t="str">
        <x:v>LinkedIn 粉丝数受登录墙限制；未纳入公开受众合计</x:v>
      </x:c>
    </x:row>
    <x:row r="25" ht="56" customHeight="1">
      <x:c r="A25" s="168" t="n">
        <x:v>24</x:v>
      </x:c>
      <x:c r="B25" s="168" t="str">
        <x:v>Field Talk</x:v>
      </x:c>
      <x:c r="C25" s="168" t="str">
        <x:v>Kun Tang</x:v>
      </x:c>
      <x:c r="D25" s="168" t="str">
        <x:v>Founder and CEO, Jademond</x:v>
      </x:c>
      <x:c r="E25" s="169" t="str">
        <x:v>Jademond 创始人兼 CEO，拥有 20 年中国网络营销经验，带领 40 多人团队帮助西方品牌通过搜索、社交媒体和 AI 进入中国市场。</x:v>
      </x:c>
      <x:c r="F25" s="168" t="str">
        <x:v>https://www.linkedin.com/in/kuntang/</x:v>
      </x:c>
      <x:c r="G25" s="170"/>
      <x:c r="H25" s="168" t="str"/>
      <x:c r="I25" s="170"/>
      <x:c r="J25" s="168" t="str"/>
      <x:c r="K25" s="170"/>
      <x:c r="L25" s="170" t="n">
        <x:f>SUM(G25,I25,K25)</x:f>
        <x:v>0</x:v>
      </x:c>
      <x:c r="M25" s="168" t="str">
        <x:v>https://shenzhenseoconference.com/speakers/kun-tang</x:v>
      </x:c>
      <x:c r="N25" s="171" t="str">
        <x:v>LinkedIn 粉丝数受登录墙限制；未纳入公开受众合计</x:v>
      </x:c>
    </x:row>
    <x:row r="26" ht="56" customHeight="1">
      <x:c r="A26" s="168" t="n">
        <x:v>25</x:v>
      </x:c>
      <x:c r="B26" s="168" t="str">
        <x:v>Lightning Talk</x:v>
      </x:c>
      <x:c r="C26" s="168" t="str">
        <x:v>Andy Wu</x:v>
      </x:c>
      <x:c r="D26" s="168" t="str">
        <x:v>Founder, Wuberlife Brands</x:v>
      </x:c>
      <x:c r="E26" s="169" t="str">
        <x:v>Wuberlife Brands 创始人，经营电商品牌并专注 SEO、自动化、数据和 AI；早期经历覆盖在线券商、Amazon FBA 与电商创业。</x:v>
      </x:c>
      <x:c r="F26" s="168" t="str">
        <x:v>https://www.linkedin.com/in/andywu1/</x:v>
      </x:c>
      <x:c r="G26" s="170"/>
      <x:c r="H26" s="168" t="str"/>
      <x:c r="I26" s="170"/>
      <x:c r="J26" s="168" t="str"/>
      <x:c r="K26" s="170"/>
      <x:c r="L26" s="170" t="n">
        <x:f>SUM(G26,I26,K26)</x:f>
        <x:v>0</x:v>
      </x:c>
      <x:c r="M26" s="168" t="str">
        <x:v>https://shenzhenseoconference.com/speakers/andy-wu</x:v>
      </x:c>
      <x:c r="N26" s="171" t="str">
        <x:v>LinkedIn 粉丝数受登录墙限制；未纳入公开受众合计</x:v>
      </x:c>
    </x:row>
    <x:row r="27" ht="56" customHeight="1">
      <x:c r="A27" s="168" t="n">
        <x:v>26</x:v>
      </x:c>
      <x:c r="B27" s="168" t="str">
        <x:v>Lightning Talk</x:v>
      </x:c>
      <x:c r="C27" s="168" t="str">
        <x:v>Johann Sathianathen</x:v>
      </x:c>
      <x:c r="D27" s="168" t="str">
        <x:v>Co-founder, Cyndra AI</x:v>
      </x:c>
      <x:c r="E27" s="169" t="str">
        <x:v>Jars Global 创始人及 Cyndra AI 联合创始人，专注企业 AI 自动化、营销自动化、获客和 SEO；曾在 12 个月内创建并出售 Qura。</x:v>
      </x:c>
      <x:c r="F27" s="168" t="str">
        <x:v>https://www.linkedin.com/in/jsathianathen/</x:v>
      </x:c>
      <x:c r="G27" s="170"/>
      <x:c r="H27" s="168" t="str">
        <x:v>https://x.com/johann_sath</x:v>
      </x:c>
      <x:c r="I27" s="170" t="n">
        <x:v>9300</x:v>
      </x:c>
      <x:c r="J27" s="168" t="str">
        <x:v>https://www.youtube.com/@johannships</x:v>
      </x:c>
      <x:c r="K27" s="170" t="n">
        <x:v>1890</x:v>
      </x:c>
      <x:c r="L27" s="170" t="n">
        <x:f>SUM(G27,I27,K27)</x:f>
        <x:v>11190</x:v>
      </x:c>
      <x:c r="M27" s="168" t="str">
        <x:v>https://shenzhenseoconference.com/speakers/johann-sathianathen</x:v>
      </x:c>
      <x:c r="N27" s="171" t="str">
        <x:v>LinkedIn 粉丝数受登录墙限制；未纳入公开受众合计</x:v>
      </x:c>
    </x:row>
    <x:row r="28" ht="56" customHeight="1">
      <x:c r="A28" s="168" t="n">
        <x:v>27</x:v>
      </x:c>
      <x:c r="B28" s="168" t="str">
        <x:v>Lightning Talk</x:v>
      </x:c>
      <x:c r="C28" s="168" t="str">
        <x:v>Roger Yin</x:v>
      </x:c>
      <x:c r="D28" s="168" t="str">
        <x:v>SEO Partner, HashMatrix</x:v>
      </x:c>
      <x:c r="E28" s="169" t="str">
        <x:v>温哥华增长营销专家，拥有 10 年以上北美经验并服务 200 多个品牌，专长国际 SEO、AEO/GEO 及 AI 产品出海增长。</x:v>
      </x:c>
      <x:c r="F28" s="168" t="str">
        <x:v>https://www.linkedin.com/in/mzyin/</x:v>
      </x:c>
      <x:c r="G28" s="170"/>
      <x:c r="H28" s="168" t="str">
        <x:v>https://x.com/daluoseo</x:v>
      </x:c>
      <x:c r="I28" s="170" t="n">
        <x:v>11100</x:v>
      </x:c>
      <x:c r="J28" s="168" t="str">
        <x:v>https://www.youtube.com/@daluoseo</x:v>
      </x:c>
      <x:c r="K28" s="170" t="n">
        <x:v>4640</x:v>
      </x:c>
      <x:c r="L28" s="170" t="n">
        <x:f>SUM(G28,I28,K28)</x:f>
        <x:v>15740</x:v>
      </x:c>
      <x:c r="M28" s="168" t="str">
        <x:v>https://shenzhenseoconference.com/speakers/roger-yin</x:v>
      </x:c>
      <x:c r="N28" s="171" t="str">
        <x:v>LinkedIn 粉丝数受登录墙限制；未纳入公开受众合计</x:v>
      </x:c>
    </x:row>
    <x:row r="29" ht="56" customHeight="1">
      <x:c r="A29" s="168" t="n">
        <x:v>28</x:v>
      </x:c>
      <x:c r="B29" s="168" t="str">
        <x:v>Lightning Talk</x:v>
      </x:c>
      <x:c r="C29" s="168" t="str">
        <x:v>David Carrasco</x:v>
      </x:c>
      <x:c r="D29" s="168" t="str">
        <x:v>Freelance SEO Consultant</x:v>
      </x:c>
      <x:c r="E29" s="169" t="str">
        <x:v>巴塞罗那 Magnify 创始人，专注国际 SEO 与品牌可见性；拥有十年经验，并曾创建、扩张和出售自己的数字 PR SaaS。</x:v>
      </x:c>
      <x:c r="F29" s="168" t="str">
        <x:v>https://www.linkedin.com/in/david-carrasco-pamies/</x:v>
      </x:c>
      <x:c r="G29" s="170"/>
      <x:c r="H29" s="168" t="str">
        <x:v>https://x.com/davidcarrascop</x:v>
      </x:c>
      <x:c r="I29" s="170" t="n">
        <x:v>1645</x:v>
      </x:c>
      <x:c r="J29" s="168" t="str">
        <x:v>https://www.youtube.com/@david_carrasco/</x:v>
      </x:c>
      <x:c r="K29" s="170" t="n">
        <x:v>88</x:v>
      </x:c>
      <x:c r="L29" s="170" t="n">
        <x:f>SUM(G29,I29,K29)</x:f>
        <x:v>1733</x:v>
      </x:c>
      <x:c r="M29" s="168" t="str">
        <x:v>https://shenzhenseoconference.com/speakers/david-carrasco</x:v>
      </x:c>
      <x:c r="N29" s="171" t="str">
        <x:v>LinkedIn 粉丝数受登录墙限制；未纳入公开受众合计</x:v>
      </x:c>
    </x:row>
    <x:row r="30" ht="56" customHeight="1">
      <x:c r="A30" s="168" t="n">
        <x:v>29</x:v>
      </x:c>
      <x:c r="B30" s="168" t="str">
        <x:v>Lightning Talk</x:v>
      </x:c>
      <x:c r="C30" s="168" t="str">
        <x:v>Andrea Abbondanza</x:v>
      </x:c>
      <x:c r="D30" s="168" t="str">
        <x:v>Founder, Abbondanza Marketing</x:v>
      </x:c>
      <x:c r="E30" s="169" t="str">
        <x:v>数字战略家、创业者和 AI 顾问，在意大利与澳大利亚拥有 15 年以上经验，专长 SEO、GEO、AIO 及中国品牌进入意大利市场。</x:v>
      </x:c>
      <x:c r="F30" s="168" t="str">
        <x:v>https://www.linkedin.com/in/andrea-abbondanza/</x:v>
      </x:c>
      <x:c r="G30" s="170"/>
      <x:c r="H30" s="168" t="str">
        <x:v>https://x.com/Andre_abbo</x:v>
      </x:c>
      <x:c r="I30" s="170" t="n">
        <x:v>38</x:v>
      </x:c>
      <x:c r="J30" s="168" t="str"/>
      <x:c r="K30" s="170"/>
      <x:c r="L30" s="170" t="n">
        <x:f>SUM(G30,I30,K30)</x:f>
        <x:v>38</x:v>
      </x:c>
      <x:c r="M30" s="168" t="str">
        <x:v>https://shenzhenseoconference.com/speakers/andrea-abbondanza</x:v>
      </x:c>
      <x:c r="N30" s="171" t="str">
        <x:v>LinkedIn 粉丝数受登录墙限制；未纳入公开受众合计</x:v>
      </x:c>
    </x:row>
    <x:row r="31" ht="56" customHeight="1">
      <x:c r="A31" s="168" t="n">
        <x:v>30</x:v>
      </x:c>
      <x:c r="B31" s="168" t="str">
        <x:v>Lightning Talk</x:v>
      </x:c>
      <x:c r="C31" s="168" t="str">
        <x:v>Jonathan Kiekbusch</x:v>
      </x:c>
      <x:c r="D31" s="168" t="str">
        <x:v>Founder, SwishDM</x:v>
      </x:c>
      <x:c r="E31" s="169" t="str">
        <x:v>SwishDM 创始人及前电商经营者，帮助中大型企业通过战略 SEO 与 GEO 提升自然搜索收入，兼具创业、扩张与退出经验。</x:v>
      </x:c>
      <x:c r="F31" s="168" t="str">
        <x:v>https://www.linkedin.com/in/jonathan-kiekbusch-65a84914/</x:v>
      </x:c>
      <x:c r="G31" s="170"/>
      <x:c r="H31" s="168" t="str"/>
      <x:c r="I31" s="170"/>
      <x:c r="J31" s="168" t="str">
        <x:v>https://www.youtube.com/user/johnkiek</x:v>
      </x:c>
      <x:c r="K31" s="170" t="n">
        <x:v>57</x:v>
      </x:c>
      <x:c r="L31" s="170" t="n">
        <x:f>SUM(G31,I31,K31)</x:f>
        <x:v>57</x:v>
      </x:c>
      <x:c r="M31" s="168" t="str">
        <x:v>https://shenzhenseoconference.com/speakers/jonathan-kiekbusch</x:v>
      </x:c>
      <x:c r="N31" s="171" t="str">
        <x:v>LinkedIn 粉丝数受登录墙限制；未纳入公开受众合计</x:v>
      </x:c>
    </x:row>
    <x:row r="32" ht="56" customHeight="1">
      <x:c r="A32" s="168" t="n">
        <x:v>31</x:v>
      </x:c>
      <x:c r="B32" s="168" t="str">
        <x:v>Lightning Talk</x:v>
      </x:c>
      <x:c r="C32" s="168" t="str">
        <x:v>Max Hobbs</x:v>
      </x:c>
      <x:c r="D32" s="168" t="str">
        <x:v>Global Head of Marketing, LTL School</x:v>
      </x:c>
      <x:c r="E32" s="169" t="str">
        <x:v>LTL School 全球营销负责人，近十年负责亚洲语言教育品牌的全球增长、线索增长与品牌建设。</x:v>
      </x:c>
      <x:c r="F32" s="168" t="str">
        <x:v>https://www.linkedin.com/in/max-hobbs-uk/</x:v>
      </x:c>
      <x:c r="G32" s="170"/>
      <x:c r="H32" s="168" t="str"/>
      <x:c r="I32" s="170"/>
      <x:c r="J32" s="168" t="str"/>
      <x:c r="K32" s="170"/>
      <x:c r="L32" s="170" t="n">
        <x:f>SUM(G32,I32,K32)</x:f>
        <x:v>0</x:v>
      </x:c>
      <x:c r="M32" s="168" t="str">
        <x:v>https://shenzhenseoconference.com/speakers/max-hobbs</x:v>
      </x:c>
      <x:c r="N32" s="171" t="str">
        <x:v>LinkedIn 粉丝数受登录墙限制；未纳入公开受众合计</x:v>
      </x:c>
    </x:row>
    <x:row r="33" ht="56" customHeight="1">
      <x:c r="A33" s="168" t="n">
        <x:v>32</x:v>
      </x:c>
      <x:c r="B33" s="168" t="str">
        <x:v>Lightning Talk</x:v>
      </x:c>
      <x:c r="C33" s="168" t="str">
        <x:v>Konstantin Sadekov</x:v>
      </x:c>
      <x:c r="D33" s="168" t="str">
        <x:v>Founder &amp; CEO, Ethical SEO</x:v>
      </x:c>
      <x:c r="E33" s="169" t="str">
        <x:v>爱沙尼亚 EthicalSEO 创始人兼 CEO，为美国和欧洲企业及 SaaS 创业公司制定兼顾传统搜索和 LLM 可见性的可持续 AI SEO 策略。</x:v>
      </x:c>
      <x:c r="F33" s="168" t="str">
        <x:v>https://www.linkedin.com/in/konstantin-sadekov/</x:v>
      </x:c>
      <x:c r="G33" s="170"/>
      <x:c r="H33" s="168" t="str"/>
      <x:c r="I33" s="170"/>
      <x:c r="J33" s="168" t="str"/>
      <x:c r="K33" s="170"/>
      <x:c r="L33" s="170" t="n">
        <x:f>SUM(G33,I33,K33)</x:f>
        <x:v>0</x:v>
      </x:c>
      <x:c r="M33" s="168" t="str">
        <x:v>https://shenzhenseoconference.com/speakers/konstantin-sadekov</x:v>
      </x:c>
      <x:c r="N33" s="171" t="str">
        <x:v>LinkedIn 粉丝数受登录墙限制；未纳入公开受众合计</x:v>
      </x:c>
    </x:row>
    <x:row r="34" ht="56" customHeight="1">
      <x:c r="A34" s="168" t="n">
        <x:v>33</x:v>
      </x:c>
      <x:c r="B34" s="168" t="str">
        <x:v>Lightning Talk</x:v>
      </x:c>
      <x:c r="C34" s="168" t="str">
        <x:v>Gabriele Kahlout</x:v>
      </x:c>
      <x:c r="D34" s="168" t="str">
        <x:v>International SEO Specialist</x:v>
      </x:c>
      <x:c r="E34" s="169" t="str">
        <x:v>国际 SEO 专家，拥有十年以上受众增长经验，跨编辑、开发、内容、数据管道与 AI 自动化工作，并能使用四种语言。</x:v>
      </x:c>
      <x:c r="F34" s="168" t="str"/>
      <x:c r="G34" s="170"/>
      <x:c r="H34" s="168" t="str"/>
      <x:c r="I34" s="170"/>
      <x:c r="J34" s="168" t="str"/>
      <x:c r="K34" s="170"/>
      <x:c r="L34" s="170" t="n">
        <x:f>SUM(G34,I34,K34)</x:f>
        <x:v>0</x:v>
      </x:c>
      <x:c r="M34" s="168" t="str">
        <x:v>https://shenzhenseoconference.com/speakers/gabriele-kahlout</x:v>
      </x:c>
      <x:c r="N34" s="171" t="str">
        <x:v>官网未提供社交账号</x:v>
      </x:c>
    </x:row>
    <x:row r="35" ht="56" customHeight="1">
      <x:c r="A35" s="168" t="n">
        <x:v>34</x:v>
      </x:c>
      <x:c r="B35" s="168" t="str">
        <x:v>Lightning Talk</x:v>
      </x:c>
      <x:c r="C35" s="168" t="str">
        <x:v>Sam Penny</x:v>
      </x:c>
      <x:c r="D35" s="168" t="str">
        <x:v>SEO &amp; Growth Manager</x:v>
      </x:c>
      <x:c r="E35" s="169" t="str">
        <x:v>增长型 SEO 营销者，负责澳大利亚大型投资基金的 SEO，并为品牌提供技术 SEO 和内容策略建议；其数字产品每年服务超过 100 万人。</x:v>
      </x:c>
      <x:c r="F35" s="168" t="str">
        <x:v>https://www.linkedin.com/in/sam-penny/</x:v>
      </x:c>
      <x:c r="G35" s="170"/>
      <x:c r="H35" s="168" t="str">
        <x:v>https://x.com/sampennyseo</x:v>
      </x:c>
      <x:c r="I35" s="170" t="n">
        <x:v>302</x:v>
      </x:c>
      <x:c r="J35" s="168" t="str"/>
      <x:c r="K35" s="170"/>
      <x:c r="L35" s="170" t="n">
        <x:f>SUM(G35,I35,K35)</x:f>
        <x:v>302</x:v>
      </x:c>
      <x:c r="M35" s="168" t="str">
        <x:v>https://shenzhenseoconference.com/speakers/sam-penny</x:v>
      </x:c>
      <x:c r="N35" s="171" t="str">
        <x:v>LinkedIn 粉丝数受登录墙限制；未纳入公开受众合计</x:v>
      </x:c>
    </x:row>
    <x:row r="36" ht="56" customHeight="1">
      <x:c r="A36" s="168" t="n">
        <x:v>35</x:v>
      </x:c>
      <x:c r="B36" s="168" t="str">
        <x:v>Lightning Talk</x:v>
      </x:c>
      <x:c r="C36" s="168" t="str">
        <x:v>Helen Han</x:v>
      </x:c>
      <x:c r="D36" s="168" t="str">
        <x:v>Technical SEO Executive, Easygo</x:v>
      </x:c>
      <x:c r="E36" s="169" t="str">
        <x:v>墨尔本技术 SEO 从业者，擅长把复杂 SEO 问题转化为可规模化自动化方案，使用 Sanity、GROQ 与数据工作流推动全球有机增长。</x:v>
      </x:c>
      <x:c r="F36" s="168" t="str">
        <x:v>https://www.linkedin.com/in/helenhanau/</x:v>
      </x:c>
      <x:c r="G36" s="170"/>
      <x:c r="H36" s="168" t="str"/>
      <x:c r="I36" s="170"/>
      <x:c r="J36" s="168" t="str"/>
      <x:c r="K36" s="170"/>
      <x:c r="L36" s="170" t="n">
        <x:f>SUM(G36,I36,K36)</x:f>
        <x:v>0</x:v>
      </x:c>
      <x:c r="M36" s="168" t="str">
        <x:v>https://shenzhenseoconference.com/speakers/helen-han</x:v>
      </x:c>
      <x:c r="N36" s="171" t="str">
        <x:v>LinkedIn 粉丝数受登录墙限制；未纳入公开受众合计</x:v>
      </x:c>
    </x:row>
    <x:row r="37" ht="56" customHeight="1">
      <x:c r="A37" s="168" t="n">
        <x:v>36</x:v>
      </x:c>
      <x:c r="B37" s="168" t="str">
        <x:v>Lightning Talk</x:v>
      </x:c>
      <x:c r="C37" s="168" t="str">
        <x:v>Jine Wu</x:v>
      </x:c>
      <x:c r="D37" s="168" t="str">
        <x:v>SEO Operations Manager, REA Group</x:v>
      </x:c>
      <x:c r="E37" s="169" t="str">
        <x:v>REA Group SEO 运营经理，拥有 18 年数字营销经验及开发背景，专长企业级技术 SEO、AI 搜索、大型搜索平台和跨团队执行。</x:v>
      </x:c>
      <x:c r="F37" s="168" t="str">
        <x:v>https://www.linkedin.com/in/jinewu/</x:v>
      </x:c>
      <x:c r="G37" s="170"/>
      <x:c r="H37" s="168" t="str"/>
      <x:c r="I37" s="170"/>
      <x:c r="J37" s="168" t="str"/>
      <x:c r="K37" s="170"/>
      <x:c r="L37" s="170" t="n">
        <x:f>SUM(G37,I37,K37)</x:f>
        <x:v>0</x:v>
      </x:c>
      <x:c r="M37" s="168" t="str">
        <x:v>https://shenzhenseoconference.com/speakers/jine-wu</x:v>
      </x:c>
      <x:c r="N37" s="171" t="str">
        <x:v>LinkedIn 粉丝数受登录墙限制；未纳入公开受众合计</x:v>
      </x:c>
    </x:row>
    <x:row r="38" ht="56" customHeight="1">
      <x:c r="A38" s="168" t="n">
        <x:v>37</x:v>
      </x:c>
      <x:c r="B38" s="168" t="str">
        <x:v>Lightning Talk</x:v>
      </x:c>
      <x:c r="C38" s="168" t="str">
        <x:v>Henry Dalziel</x:v>
      </x:c>
      <x:c r="D38" s="168" t="str">
        <x:v>SEO Lead, Publicis Media</x:v>
      </x:c>
      <x:c r="E38" s="169" t="str">
        <x:v>香港 SEO/GEO 专家，拥有 15 年以上电商、金融、酒店、医药等企业经验，曾在 Publicis Media 扩大 SEO 团队和客户组合，偏重技术 SEO。</x:v>
      </x:c>
      <x:c r="F38" s="168" t="str">
        <x:v>https://www.linkedin.com/in/henrydalziel/</x:v>
      </x:c>
      <x:c r="G38" s="170"/>
      <x:c r="H38" s="168" t="str"/>
      <x:c r="I38" s="170"/>
      <x:c r="J38" s="168" t="str">
        <x:v>https://www.youtube.com/@HenryDalzielSEO/</x:v>
      </x:c>
      <x:c r="K38" s="170" t="n">
        <x:v>371</x:v>
      </x:c>
      <x:c r="L38" s="170" t="n">
        <x:f>SUM(G38,I38,K38)</x:f>
        <x:v>371</x:v>
      </x:c>
      <x:c r="M38" s="168" t="str">
        <x:v>https://shenzhenseoconference.com/speakers/henry-dalziel</x:v>
      </x:c>
      <x:c r="N38" s="171" t="str">
        <x:v>LinkedIn 粉丝数受登录墙限制；未纳入公开受众合计</x:v>
      </x:c>
    </x:row>
    <x:row r="39" ht="56" customHeight="1">
      <x:c r="A39" s="168" t="n">
        <x:v>38</x:v>
      </x:c>
      <x:c r="B39" s="168" t="str">
        <x:v>Lightning Talk</x:v>
      </x:c>
      <x:c r="C39" s="168" t="str">
        <x:v>Killian Kostiha</x:v>
      </x:c>
      <x:c r="D39" s="168" t="str">
        <x:v>Founder, Get Clicks</x:v>
      </x:c>
      <x:c r="E39" s="169" t="str">
        <x:v>Get Clicks 创始人，自 2008 年从事 SEO，帮助品牌在亚洲与全球市场通过 SEO、GEO、内容、链接建设和数字 PR 增长。</x:v>
      </x:c>
      <x:c r="F39" s="168" t="str">
        <x:v>https://www.linkedin.com/in/kkostihapm/</x:v>
      </x:c>
      <x:c r="G39" s="170"/>
      <x:c r="H39" s="168" t="str">
        <x:v>https://x.com/killiankostiha</x:v>
      </x:c>
      <x:c r="I39" s="170" t="n">
        <x:v>885</x:v>
      </x:c>
      <x:c r="J39" s="168" t="str"/>
      <x:c r="K39" s="170"/>
      <x:c r="L39" s="170" t="n">
        <x:f>SUM(G39,I39,K39)</x:f>
        <x:v>885</x:v>
      </x:c>
      <x:c r="M39" s="168" t="str">
        <x:v>https://shenzhenseoconference.com/speakers/killian-kostiha</x:v>
      </x:c>
      <x:c r="N39" s="171" t="str">
        <x:v>LinkedIn 粉丝数受登录墙限制；未纳入公开受众合计</x:v>
      </x:c>
    </x:row>
    <x:row r="40" ht="56" customHeight="1">
      <x:c r="A40" s="168" t="n">
        <x:v>39</x:v>
      </x:c>
      <x:c r="B40" s="168" t="str">
        <x:v>Lightning Talk</x:v>
      </x:c>
      <x:c r="C40" s="168" t="str">
        <x:v>Jodie Chan</x:v>
      </x:c>
      <x:c r="D40" s="168" t="str">
        <x:v>SVP of Product &amp; Strategic Partnerships, Chinafy</x:v>
      </x:c>
      <x:c r="E40" s="169" t="str">
        <x:v>Chinafy 产品与战略合作高级副总裁，自 2017 年专注跨境网站在中国的速度、完整性和安全性，并建设阿里云、AWS、WPVIP 等合作生态。</x:v>
      </x:c>
      <x:c r="F40" s="168" t="str">
        <x:v>https://www.linkedin.com/in/jodiewyc/</x:v>
      </x:c>
      <x:c r="G40" s="170"/>
      <x:c r="H40" s="168" t="str"/>
      <x:c r="I40" s="170"/>
      <x:c r="J40" s="168" t="str"/>
      <x:c r="K40" s="170"/>
      <x:c r="L40" s="170" t="n">
        <x:f>SUM(G40,I40,K40)</x:f>
        <x:v>0</x:v>
      </x:c>
      <x:c r="M40" s="168" t="str">
        <x:v>https://shenzhenseoconference.com/speakers/jodie-chan</x:v>
      </x:c>
      <x:c r="N40" s="171" t="str">
        <x:v>LinkedIn 粉丝数受登录墙限制；未纳入公开受众合计</x:v>
      </x:c>
    </x:row>
    <x:row r="41" ht="56" customHeight="1">
      <x:c r="A41" s="168" t="n">
        <x:v>40</x:v>
      </x:c>
      <x:c r="B41" s="168" t="str">
        <x:v>Lightning Talk</x:v>
      </x:c>
      <x:c r="C41" s="168" t="str">
        <x:v>Divya Jain</x:v>
      </x:c>
      <x:c r="D41" s="168" t="str">
        <x:v>Global Head of Organic Growth &amp; Brand, Edvoy</x:v>
      </x:c>
      <x:c r="E41" s="169" t="str">
        <x:v>拥有 20 年有机增长经验，覆盖金融科技、旅行、本地发现和教育科技；曾在 Paytm、Justdial 建立 SEO 团队，现负责 Edvoy 全球增长与品牌。</x:v>
      </x:c>
      <x:c r="F41" s="168" t="str">
        <x:v>https://www.linkedin.com/in/divyajain3/</x:v>
      </x:c>
      <x:c r="G41" s="170"/>
      <x:c r="H41" s="168" t="str"/>
      <x:c r="I41" s="170"/>
      <x:c r="J41" s="168" t="str"/>
      <x:c r="K41" s="170"/>
      <x:c r="L41" s="170" t="n">
        <x:f>SUM(G41,I41,K41)</x:f>
        <x:v>0</x:v>
      </x:c>
      <x:c r="M41" s="168" t="str">
        <x:v>https://shenzhenseoconference.com/speakers/divya-jain</x:v>
      </x:c>
      <x:c r="N41" s="171" t="str">
        <x:v>LinkedIn 粉丝数受登录墙限制；未纳入公开受众合计</x:v>
      </x:c>
    </x:row>
    <x:row r="42" ht="56" customHeight="1">
      <x:c r="A42" s="168" t="n">
        <x:v>41</x:v>
      </x:c>
      <x:c r="B42" s="168" t="str">
        <x:v>Lightning Talk</x:v>
      </x:c>
      <x:c r="C42" s="168" t="str">
        <x:v>Wasin Mekkit</x:v>
      </x:c>
      <x:c r="D42" s="168" t="str">
        <x:v>Data &amp; Growth Analyst, Statrys</x:v>
      </x:c>
      <x:c r="E42" s="169" t="str">
        <x:v>数据与数字增长分析师，结合网页开发、数据分析、设计和策略，优化用户体验以及搜索引擎与 AI 对页面内容的理解。</x:v>
      </x:c>
      <x:c r="F42" s="168" t="str">
        <x:v>https://www.linkedin.com/in/wasin-mekkit/</x:v>
      </x:c>
      <x:c r="G42" s="170"/>
      <x:c r="H42" s="168" t="str"/>
      <x:c r="I42" s="170"/>
      <x:c r="J42" s="168" t="str"/>
      <x:c r="K42" s="170"/>
      <x:c r="L42" s="170" t="n">
        <x:f>SUM(G42,I42,K42)</x:f>
        <x:v>0</x:v>
      </x:c>
      <x:c r="M42" s="168" t="str">
        <x:v>https://shenzhenseoconference.com/speakers/wasin-mekkit</x:v>
      </x:c>
      <x:c r="N42" s="171" t="str">
        <x:v>LinkedIn 粉丝数受登录墙限制；未纳入公开受众合计</x:v>
      </x:c>
    </x:row>
    <x:row r="43" ht="56" customHeight="1">
      <x:c r="A43" s="168" t="n">
        <x:v>42</x:v>
      </x:c>
      <x:c r="B43" s="168" t="str">
        <x:v>Lightning Talk</x:v>
      </x:c>
      <x:c r="C43" s="168" t="str">
        <x:v>Mayi</x:v>
      </x:c>
      <x:c r="D43" s="168" t="str">
        <x:v>Founder &amp; CEO, InnoHunts</x:v>
      </x:c>
      <x:c r="E43" s="169" t="str">
        <x:v>深圳 InnoHunts 创始人兼 CEO，专注 Reddit 营销、社区驱动增长、品牌叙事和 GEO，帮助出海品牌建立全球影响力。</x:v>
      </x:c>
      <x:c r="F43" s="168" t="str">
        <x:v>https://www.linkedin.com/in/yiwanning-ma-642b52218/</x:v>
      </x:c>
      <x:c r="G43" s="170"/>
      <x:c r="H43" s="168" t="str"/>
      <x:c r="I43" s="170"/>
      <x:c r="J43" s="168" t="str"/>
      <x:c r="K43" s="170"/>
      <x:c r="L43" s="170" t="n">
        <x:f>SUM(G43,I43,K43)</x:f>
        <x:v>0</x:v>
      </x:c>
      <x:c r="M43" s="168" t="str">
        <x:v>https://shenzhenseoconference.com/speakers/mayi</x:v>
      </x:c>
      <x:c r="N43" s="171" t="str">
        <x:v>LinkedIn 粉丝数受登录墙限制；未纳入公开受众合计</x:v>
      </x:c>
    </x:row>
    <x:row r="44" ht="56" customHeight="1">
      <x:c r="A44" s="168" t="n">
        <x:v>43</x:v>
      </x:c>
      <x:c r="B44" s="168" t="str">
        <x:v>Lightning Talk</x:v>
      </x:c>
      <x:c r="C44" s="168" t="str">
        <x:v>Ben Fang</x:v>
      </x:c>
      <x:c r="D44" s="168" t="str">
        <x:v>CEO &amp; Co-founder, Kingsway Video</x:v>
      </x:c>
      <x:c r="E44" s="169" t="str">
        <x:v>Kingsway Video 联合创始人兼 CEO，拥有 22 年网站建设与内容创作经验，专注视频营销、Video SEO 与潜客获取。</x:v>
      </x:c>
      <x:c r="F44" s="168" t="str">
        <x:v>https://www.linkedin.com/in/ben-fang-0817325/</x:v>
      </x:c>
      <x:c r="G44" s="170"/>
      <x:c r="H44" s="168" t="str"/>
      <x:c r="I44" s="170"/>
      <x:c r="J44" s="168" t="str">
        <x:v>https://www.youtube.com/channel/UC552BM8NTTkyHfh7ueAuaZg</x:v>
      </x:c>
      <x:c r="K44" s="170" t="n">
        <x:v>41</x:v>
      </x:c>
      <x:c r="L44" s="170" t="n">
        <x:f>SUM(G44,I44,K44)</x:f>
        <x:v>41</x:v>
      </x:c>
      <x:c r="M44" s="168" t="str">
        <x:v>https://shenzhenseoconference.com/speakers/ben-fang</x:v>
      </x:c>
      <x:c r="N44" s="171" t="str">
        <x:v>LinkedIn 粉丝数受登录墙限制；未纳入公开受众合计</x:v>
      </x:c>
    </x:row>
    <x:row r="45" ht="56" customHeight="1">
      <x:c r="A45" s="168" t="n">
        <x:v>44</x:v>
      </x:c>
      <x:c r="B45" s="168" t="str">
        <x:v>Lightning Talk</x:v>
      </x:c>
      <x:c r="C45" s="168" t="str">
        <x:v>Tupa Lee</x:v>
      </x:c>
      <x:c r="D45" s="168" t="str">
        <x:v>SEO &amp; SEM Consultant</x:v>
      </x:c>
      <x:c r="E45" s="169" t="str">
        <x:v>国际增长型效果营销从业者与教育者，管理过数百万美元 DTC 增长项目，覆盖 Google Ads/SEO、Meta、达人营销与 YouTube 增长。</x:v>
      </x:c>
      <x:c r="F45" s="168" t="str">
        <x:v>https://www.linkedin.com/in/tupa-lee-756944380/</x:v>
      </x:c>
      <x:c r="G45" s="170"/>
      <x:c r="H45" s="168" t="str"/>
      <x:c r="I45" s="170"/>
      <x:c r="J45" s="168" t="str"/>
      <x:c r="K45" s="170"/>
      <x:c r="L45" s="170" t="n">
        <x:f>SUM(G45,I45,K45)</x:f>
        <x:v>0</x:v>
      </x:c>
      <x:c r="M45" s="168" t="str">
        <x:v>https://shenzhenseoconference.com/speakers/tupa-lee</x:v>
      </x:c>
      <x:c r="N45" s="171" t="str">
        <x:v>LinkedIn 粉丝数受登录墙限制；未纳入公开受众合计</x:v>
      </x:c>
    </x:row>
    <x:row r="46" ht="56" customHeight="1">
      <x:c r="A46" s="168" t="n">
        <x:v>45</x:v>
      </x:c>
      <x:c r="B46" s="168" t="str">
        <x:v>VIP Networking</x:v>
      </x:c>
      <x:c r="C46" s="168" t="str">
        <x:v>Nick White</x:v>
      </x:c>
      <x:c r="D46" s="168" t="str">
        <x:v>Author / Founder, Castle Trade Agency</x:v>
      </x:c>
      <x:c r="E46" s="169" t="str">
        <x:v>拥有 30 年 B2B 销售经验的作者和培训师，2016 年创立 Castle Trade Agency，帮助中国供应商开发此前难以触达的目标客户。</x:v>
      </x:c>
      <x:c r="F46" s="168" t="str"/>
      <x:c r="G46" s="170"/>
      <x:c r="H46" s="168" t="str"/>
      <x:c r="I46" s="170"/>
      <x:c r="J46" s="168" t="str"/>
      <x:c r="K46" s="170"/>
      <x:c r="L46" s="170" t="n">
        <x:f>SUM(G46,I46,K46)</x:f>
        <x:v>0</x:v>
      </x:c>
      <x:c r="M46" s="168" t="str">
        <x:v>https://shenzhenseoconference.com/speakers/nick-white</x:v>
      </x:c>
      <x:c r="N46" s="171" t="str">
        <x:v>官网未提供社交账号</x:v>
      </x:c>
    </x:row>
    <x:row r="47" ht="56" customHeight="1">
      <x:c r="A47" s="168" t="n">
        <x:v>46</x:v>
      </x:c>
      <x:c r="B47" s="168" t="str">
        <x:v>VIP Networking</x:v>
      </x:c>
      <x:c r="C47" s="168" t="str">
        <x:v>Marcus Pentzek</x:v>
      </x:c>
      <x:c r="D47" s="168" t="str">
        <x:v>Partner &amp; Director SEO, Jademond Digital</x:v>
      </x:c>
      <x:c r="E47" s="169" t="str">
        <x:v>Jademond Digital 合伙人兼 SEO 总监，拥有 20 年 Google SEO 和东亚搜索经验，合著《SEO for China》并主导 2020 年百度排名因素研究。</x:v>
      </x:c>
      <x:c r="F47" s="168" t="str">
        <x:v>https://www.linkedin.com/in/marcuspentzek/</x:v>
      </x:c>
      <x:c r="G47" s="170"/>
      <x:c r="H47" s="168" t="str">
        <x:v>https://x.com/MPentzek</x:v>
      </x:c>
      <x:c r="I47" s="170" t="n">
        <x:v>101</x:v>
      </x:c>
      <x:c r="J47" s="168" t="str"/>
      <x:c r="K47" s="170"/>
      <x:c r="L47" s="170" t="n">
        <x:f>SUM(G47,I47,K47)</x:f>
        <x:v>101</x:v>
      </x:c>
      <x:c r="M47" s="168" t="str">
        <x:v>https://shenzhenseoconference.com/speakers/marcus-pentzek</x:v>
      </x:c>
      <x:c r="N47" s="171" t="str">
        <x:v>LinkedIn 粉丝数受登录墙限制；未纳入公开受众合计</x:v>
      </x:c>
    </x:row>
    <x:row r="48" ht="56" customHeight="1">
      <x:c r="A48" s="168" t="n">
        <x:v>47</x:v>
      </x:c>
      <x:c r="B48" s="168" t="str">
        <x:v>VIP + Side Event</x:v>
      </x:c>
      <x:c r="C48" s="168" t="str">
        <x:v>Tanya Van Gastel</x:v>
      </x:c>
      <x:c r="D48" s="168" t="str">
        <x:v>Founder, Rankingonai.com</x:v>
      </x:c>
      <x:c r="E48" s="169" t="str">
        <x:v>Rankingonai.com 创始人，为高增长 SaaS 提供 AI 可见性与 SEO 服务，客户包括 Cal.com、Suno、HappyRobot；此前曾创建并退出 AI 摄影创业项目。</x:v>
      </x:c>
      <x:c r="F48" s="168" t="str">
        <x:v>https://www.linkedin.com/in/tanyavangastel/</x:v>
      </x:c>
      <x:c r="G48" s="170"/>
      <x:c r="H48" s="168" t="str"/>
      <x:c r="I48" s="170"/>
      <x:c r="J48" s="168" t="str">
        <x:v>https://www.youtube.com/@foundertanya</x:v>
      </x:c>
      <x:c r="K48" s="170" t="n">
        <x:v>4250</x:v>
      </x:c>
      <x:c r="L48" s="170" t="n">
        <x:f>SUM(G48,I48,K48)</x:f>
        <x:v>4250</x:v>
      </x:c>
      <x:c r="M48" s="168" t="str">
        <x:v>https://shenzhenseoconference.com/speakers/tanya-van-gastel</x:v>
      </x:c>
      <x:c r="N48" s="171" t="str">
        <x:v>LinkedIn 粉丝数受登录墙限制；未纳入公开受众合计</x:v>
      </x:c>
    </x:row>
    <x:row r="49" ht="56" customHeight="1">
      <x:c r="A49" s="168" t="n">
        <x:v>48</x:v>
      </x:c>
      <x:c r="B49" s="168" t="str">
        <x:v>VIP Networking</x:v>
      </x:c>
      <x:c r="C49" s="168" t="str">
        <x:v>Tom So</x:v>
      </x:c>
      <x:c r="D49" s="168" t="str">
        <x:v>Founder &amp; CEO, MML Digital (慢慢来)</x:v>
      </x:c>
      <x:c r="E49" s="169" t="str">
        <x:v>MML Digital 创始人兼 CEO，拥有 20 年国际贸易和 10 年数字营销经验，帮助 2,000 多家中国出口企业建设品牌、网站和内容增长体系。</x:v>
      </x:c>
      <x:c r="F49" s="168" t="str">
        <x:v>https://www.linkedin.com/in/tom-so/</x:v>
      </x:c>
      <x:c r="G49" s="170"/>
      <x:c r="H49" s="168" t="str"/>
      <x:c r="I49" s="170"/>
      <x:c r="J49" s="168" t="str"/>
      <x:c r="K49" s="170"/>
      <x:c r="L49" s="170" t="n">
        <x:f>SUM(G49,I49,K49)</x:f>
        <x:v>0</x:v>
      </x:c>
      <x:c r="M49" s="168" t="str">
        <x:v>https://shenzhenseoconference.com/speakers/tom-so</x:v>
      </x:c>
      <x:c r="N49" s="171" t="str">
        <x:v>LinkedIn 粉丝数受登录墙限制；未纳入公开受众合计</x:v>
      </x:c>
    </x:row>
    <x:row r="50" ht="56" customHeight="1">
      <x:c r="A50" s="168" t="n">
        <x:v>49</x:v>
      </x:c>
      <x:c r="B50" s="168" t="str">
        <x:v>VIP Networking</x:v>
      </x:c>
      <x:c r="C50" s="168" t="str">
        <x:v>Kiana Shen</x:v>
      </x:c>
      <x:c r="D50" s="168" t="str">
        <x:v>Founder, OMGrowth.ai (济谦AI)</x:v>
      </x:c>
      <x:c r="E50" s="169" t="str">
        <x:v>OMGrowth.ai 创始人，为出海品牌和 SaaS 团队提供技术 SEO、内容策略与 GEO 服务，专注中美跨文化品牌表达和有机增长。</x:v>
      </x:c>
      <x:c r="F50" s="168" t="str">
        <x:v>https://www.linkedin.com/in/kiana-shen-6054b11b6/</x:v>
      </x:c>
      <x:c r="G50" s="170"/>
      <x:c r="H50" s="168" t="str"/>
      <x:c r="I50" s="170"/>
      <x:c r="J50" s="168" t="str"/>
      <x:c r="K50" s="170"/>
      <x:c r="L50" s="170" t="n">
        <x:f>SUM(G50,I50,K50)</x:f>
        <x:v>0</x:v>
      </x:c>
      <x:c r="M50" s="168" t="str">
        <x:v>https://shenzhenseoconference.com/speakers/kiana-shen</x:v>
      </x:c>
      <x:c r="N50" s="171" t="str">
        <x:v>LinkedIn 粉丝数受登录墙限制；未纳入公开受众合计</x:v>
      </x:c>
    </x:row>
    <x:row r="51" ht="56" customHeight="1">
      <x:c r="A51" s="168" t="n">
        <x:v>50</x:v>
      </x:c>
      <x:c r="B51" s="168" t="str">
        <x:v>Side Event</x:v>
      </x:c>
      <x:c r="C51" s="168" t="str">
        <x:v>Sacha Fournier</x:v>
      </x:c>
      <x:c r="D51" s="168" t="str">
        <x:v>Founder, JournoFinder.com</x:v>
      </x:c>
      <x:c r="E51" s="169" t="str">
        <x:v>JournoFinder 创始人，通过 AI 工具帮助企业寻找合适记者、获得媒体报道和高质量链接，并在多个国际 SEO 大会分享数字 PR。</x:v>
      </x:c>
      <x:c r="F51" s="168" t="str">
        <x:v>https://www.linkedin.com/in/ssfournier/</x:v>
      </x:c>
      <x:c r="G51" s="170"/>
      <x:c r="H51" s="168" t="str">
        <x:v>https://x.com/sachf_</x:v>
      </x:c>
      <x:c r="I51" s="170" t="n">
        <x:v>2882</x:v>
      </x:c>
      <x:c r="J51" s="168" t="str"/>
      <x:c r="K51" s="170"/>
      <x:c r="L51" s="170" t="n">
        <x:f>SUM(G51,I51,K51)</x:f>
        <x:v>2882</x:v>
      </x:c>
      <x:c r="M51" s="168" t="str">
        <x:v>https://shenzhenseoconference.com/speakers/sacha-fournier</x:v>
      </x:c>
      <x:c r="N51" s="171" t="str">
        <x:v>LinkedIn 粉丝数受登录墙限制；未纳入公开受众合计</x:v>
      </x:c>
    </x:row>
    <x:row r="52" ht="56" customHeight="1">
      <x:c r="A52" s="168" t="n">
        <x:v>51</x:v>
      </x:c>
      <x:c r="B52" s="168" t="str">
        <x:v>Side Event</x:v>
      </x:c>
      <x:c r="C52" s="168" t="str">
        <x:v>Jamie I.F.</x:v>
      </x:c>
      <x:c r="D52" s="168" t="str">
        <x:v>Founder, AffiliateFinder.ai</x:v>
      </x:c>
      <x:c r="E52" s="169" t="str">
        <x:v>AffiliateFinder.ai 创始人，专注 AI 可见性、联盟和达人增长；其平台服务 Google、Jotform 等 2,400 多个品牌。</x:v>
      </x:c>
      <x:c r="F52" s="168" t="str">
        <x:v>https://www.linkedin.com/in/jamie-if/</x:v>
      </x:c>
      <x:c r="G52" s="170"/>
      <x:c r="H52" s="168" t="str">
        <x:v>https://x.com/Jamie_IF</x:v>
      </x:c>
      <x:c r="I52" s="170" t="n">
        <x:v>25900</x:v>
      </x:c>
      <x:c r="J52" s="168" t="str">
        <x:v>https://www.youtube.com/channel/UCUYu4XfhuiuWwzhLka2L9Pw</x:v>
      </x:c>
      <x:c r="K52" s="170" t="n">
        <x:v>1590</x:v>
      </x:c>
      <x:c r="L52" s="170" t="n">
        <x:f>SUM(G52,I52,K52)</x:f>
        <x:v>27490</x:v>
      </x:c>
      <x:c r="M52" s="168" t="str">
        <x:v>https://shenzhenseoconference.com/speakers/jamie-i-f</x:v>
      </x:c>
      <x:c r="N52" s="171" t="str">
        <x:v>LinkedIn 粉丝数受登录墙限制；未纳入公开受众合计</x:v>
      </x:c>
    </x:row>
    <x:row r="53" ht="56" customHeight="1">
      <x:c r="A53" s="168" t="n">
        <x:v>52</x:v>
      </x:c>
      <x:c r="B53" s="168" t="str">
        <x:v>Side Event</x:v>
      </x:c>
      <x:c r="C53" s="168" t="str">
        <x:v>Vinayak Gupta</x:v>
      </x:c>
      <x:c r="D53" s="168" t="str">
        <x:v>Founder, Serpbays</x:v>
      </x:c>
      <x:c r="E53" s="169" t="str">
        <x:v>Serpbays、Wordscloud 和 SaaSlinks 创始人，工作横跨链接交易市场、内容营销、SaaS、AI 辅助开发和 SEO 自动化。</x:v>
      </x:c>
      <x:c r="F53" s="168" t="str">
        <x:v>https://www.linkedin.com/in/vin-wordscloud/</x:v>
      </x:c>
      <x:c r="G53" s="170"/>
      <x:c r="H53" s="168" t="str"/>
      <x:c r="I53" s="170"/>
      <x:c r="J53" s="168" t="str"/>
      <x:c r="K53" s="170"/>
      <x:c r="L53" s="170" t="n">
        <x:f>SUM(G53,I53,K53)</x:f>
        <x:v>0</x:v>
      </x:c>
      <x:c r="M53" s="168" t="str">
        <x:v>https://shenzhenseoconference.com/speakers/vinayak-gupta</x:v>
      </x:c>
      <x:c r="N53" s="171" t="str">
        <x:v>LinkedIn 粉丝数受登录墙限制；未纳入公开受众合计</x:v>
      </x:c>
    </x:row>
    <x:row r="54" ht="56" customHeight="1">
      <x:c r="A54" s="168" t="n">
        <x:v>53</x:v>
      </x:c>
      <x:c r="B54" s="168" t="str">
        <x:v>Side Event</x:v>
      </x:c>
      <x:c r="C54" s="168" t="str">
        <x:v>Sharoz Dawa</x:v>
      </x:c>
      <x:c r="D54" s="168" t="str">
        <x:v>SEO Lead, Fynd</x:v>
      </x:c>
      <x:c r="E54" s="169" t="str">
        <x:v>Fynd SEO 负责人；官网当前未提供更详细个人简介。</x:v>
      </x:c>
      <x:c r="F54" s="168" t="str">
        <x:v>https://www.linkedin.com/in/sharozdawa/</x:v>
      </x:c>
      <x:c r="G54" s="170"/>
      <x:c r="H54" s="168" t="str">
        <x:v>https://x.com/SharozDawa</x:v>
      </x:c>
      <x:c r="I54" s="170" t="n">
        <x:v>1667</x:v>
      </x:c>
      <x:c r="J54" s="168" t="str"/>
      <x:c r="K54" s="170"/>
      <x:c r="L54" s="170" t="n">
        <x:f>SUM(G54,I54,K54)</x:f>
        <x:v>1667</x:v>
      </x:c>
      <x:c r="M54" s="168" t="str">
        <x:v>https://shenzhenseoconference.com/speakers/sharoz-dawa</x:v>
      </x:c>
      <x:c r="N54" s="171" t="str">
        <x:v>LinkedIn 粉丝数受登录墙限制；未纳入公开受众合计</x:v>
      </x:c>
    </x:row>
    <x:row r="55" ht="56" customHeight="1">
      <x:c r="A55" s="168" t="n">
        <x:v>54</x:v>
      </x:c>
      <x:c r="B55" s="168" t="str">
        <x:v>Side Event</x:v>
      </x:c>
      <x:c r="C55" s="168" t="str">
        <x:v>Magenta Qin</x:v>
      </x:c>
      <x:c r="D55" s="168" t="str">
        <x:v>Developer Advocate, SerpApi</x:v>
      </x:c>
      <x:c r="E55" s="169" t="str">
        <x:v>SerpApi 开发者倡导者，曾任腾讯和小红书软件工程师，现通过技术内容、教程、开源演示帮助开发者和营销者把实时搜索数据用于 AI 与 SEO。</x:v>
      </x:c>
      <x:c r="F55" s="168" t="str">
        <x:v>https://www.linkedin.com/in/mu-qin-0a29621b8/</x:v>
      </x:c>
      <x:c r="G55" s="170"/>
      <x:c r="H55" s="168" t="str"/>
      <x:c r="I55" s="170"/>
      <x:c r="J55" s="168" t="str"/>
      <x:c r="K55" s="170"/>
      <x:c r="L55" s="170" t="n">
        <x:f>SUM(G55,I55,K55)</x:f>
        <x:v>0</x:v>
      </x:c>
      <x:c r="M55" s="168" t="str">
        <x:v>https://shenzhenseoconference.com/speakers/magenta-qin</x:v>
      </x:c>
      <x:c r="N55" s="171" t="str">
        <x:v>LinkedIn 粉丝数受登录墙限制；未纳入公开受众合计</x:v>
      </x:c>
    </x:row>
    <x:row r="56" ht="56" customHeight="1">
      <x:c r="A56" s="168" t="n">
        <x:v>55</x:v>
      </x:c>
      <x:c r="B56" s="168" t="str">
        <x:v>Side Event</x:v>
      </x:c>
      <x:c r="C56" s="168" t="str">
        <x:v>Jabez Reuben</x:v>
      </x:c>
      <x:c r="D56" s="168" t="str">
        <x:v>Founder, The Blueprints</x:v>
      </x:c>
      <x:c r="E56" s="169" t="str">
        <x:v>LLM Mastery、The Blueprints 与 LinkValidator 创始人，拥有 8 年以上 SEO 经验，研究 LLM 如何理解并推荐品牌及相应可持续增长策略。</x:v>
      </x:c>
      <x:c r="F56" s="168" t="str">
        <x:v>https://www.linkedin.com/in/jabezreuben/</x:v>
      </x:c>
      <x:c r="G56" s="170"/>
      <x:c r="H56" s="168" t="str">
        <x:v>https://x.com/jabezreuben</x:v>
      </x:c>
      <x:c r="I56" s="170" t="n">
        <x:v>530</x:v>
      </x:c>
      <x:c r="J56" s="168" t="str"/>
      <x:c r="K56" s="170"/>
      <x:c r="L56" s="170" t="n">
        <x:f>SUM(G56,I56,K56)</x:f>
        <x:v>530</x:v>
      </x:c>
      <x:c r="M56" s="168" t="str">
        <x:v>https://shenzhenseoconference.com/speakers/jabez-reuben</x:v>
      </x:c>
      <x:c r="N56" s="171" t="str">
        <x:v>LinkedIn 粉丝数受登录墙限制；未纳入公开受众合计</x:v>
      </x:c>
    </x:row>
    <x:row r="57" ht="56" customHeight="1">
      <x:c r="A57" s="168" t="n">
        <x:v>56</x:v>
      </x:c>
      <x:c r="B57" s="168" t="str">
        <x:v>Side Event</x:v>
      </x:c>
      <x:c r="C57" s="168" t="str">
        <x:v>Ilman Akbar</x:v>
      </x:c>
      <x:c r="D57" s="168" t="str">
        <x:v>Founder &amp; CEO, DailySEO ID &amp; DLYS Consulting</x:v>
      </x:c>
      <x:c r="E57" s="169" t="str">
        <x:v>拥有 13 年 SEO 经验，创立 DailySEO ID 与 DLYS Consulting，曾任职 Traveloka、Glints，并在东南亚培训数千名 SEO 学员。</x:v>
      </x:c>
      <x:c r="F57" s="168" t="str">
        <x:v>https://www.linkedin.com/in/ilmanakbar/</x:v>
      </x:c>
      <x:c r="G57" s="170"/>
      <x:c r="H57" s="168" t="str">
        <x:v>https://x.com/ilmanakbar</x:v>
      </x:c>
      <x:c r="I57" s="170" t="n">
        <x:v>3806</x:v>
      </x:c>
      <x:c r="J57" s="168" t="str">
        <x:v>https://www.youtube.com/@ilmanakbar/</x:v>
      </x:c>
      <x:c r="K57" s="170" t="n">
        <x:v>81700</x:v>
      </x:c>
      <x:c r="L57" s="170" t="n">
        <x:f>SUM(G57,I57,K57)</x:f>
        <x:v>85506</x:v>
      </x:c>
      <x:c r="M57" s="168" t="str">
        <x:v>https://shenzhenseoconference.com/speakers/ilman-akbar</x:v>
      </x:c>
      <x:c r="N57" s="171" t="str">
        <x:v>LinkedIn 粉丝数受登录墙限制；未纳入公开受众合计</x:v>
      </x:c>
    </x:row>
    <x:row r="58" ht="56" customHeight="1">
      <x:c r="A58" s="168" t="n">
        <x:v>57</x:v>
      </x:c>
      <x:c r="B58" s="168" t="str">
        <x:v>Side Event</x:v>
      </x:c>
      <x:c r="C58" s="168" t="str">
        <x:v>Tori Long</x:v>
      </x:c>
      <x:c r="D58" s="168" t="str">
        <x:v>Marketing Director, GWTime</x:v>
      </x:c>
      <x:c r="E58" s="169" t="str">
        <x:v>GWTime 市场总监，拥有 13 年、50 多个市场经验并促成八位数国际交易，帮助 B2B 中小出口企业建立可复利的海外信任。</x:v>
      </x:c>
      <x:c r="F58" s="168" t="str">
        <x:v>https://www.linkedin.com/in/yaping-long-59373b87/</x:v>
      </x:c>
      <x:c r="G58" s="170"/>
      <x:c r="H58" s="168" t="str"/>
      <x:c r="I58" s="170"/>
      <x:c r="J58" s="168" t="str"/>
      <x:c r="K58" s="170"/>
      <x:c r="L58" s="170" t="n">
        <x:f>SUM(G58,I58,K58)</x:f>
        <x:v>0</x:v>
      </x:c>
      <x:c r="M58" s="168" t="str">
        <x:v>https://shenzhenseoconference.com/speakers/tori-long</x:v>
      </x:c>
      <x:c r="N58" s="171" t="str">
        <x:v>LinkedIn 粉丝数受登录墙限制；未纳入公开受众合计</x:v>
      </x:c>
    </x:row>
    <x:row r="59" ht="56" customHeight="1">
      <x:c r="A59" s="168" t="n">
        <x:v>58</x:v>
      </x:c>
      <x:c r="B59" s="168" t="str">
        <x:v>Side Event</x:v>
      </x:c>
      <x:c r="C59" s="168" t="str">
        <x:v>Jacky Lin</x:v>
      </x:c>
      <x:c r="D59" s="168" t="str">
        <x:v>Founder, Wingfuture</x:v>
      </x:c>
      <x:c r="E59" s="169" t="str">
        <x:v>Wingfuture 创始人，帮助外贸与 B2B 企业搭建销售、营销、获客和流程自动化 AI 系统；同时创办中国 Global Trade AI Conference。</x:v>
      </x:c>
      <x:c r="F59" s="168" t="str">
        <x:v>https://www.linkedin.com/in/jacky-l-326ab2b8/</x:v>
      </x:c>
      <x:c r="G59" s="170"/>
      <x:c r="H59" s="168" t="str"/>
      <x:c r="I59" s="170"/>
      <x:c r="J59" s="168" t="str"/>
      <x:c r="K59" s="170"/>
      <x:c r="L59" s="170" t="n">
        <x:f>SUM(G59,I59,K59)</x:f>
        <x:v>0</x:v>
      </x:c>
      <x:c r="M59" s="168" t="str">
        <x:v>https://shenzhenseoconference.com/speakers/jacky-lin</x:v>
      </x:c>
      <x:c r="N59" s="171" t="str">
        <x:v>LinkedIn 粉丝数受登录墙限制；未纳入公开受众合计</x:v>
      </x:c>
    </x:row>
  </x:sheetData>
  <x:conditionalFormatting sqref="L2:L59">
    <x:cfRule type="dataBar" priority="1">
      <x:dataBar>
        <x:cfvo type="min"/>
        <x:cfvo type="max"/>
        <x:color rgb="FFEB3030"/>
      </x:dataBar>
      <x:extLst>
        <x:ext xmlns:x14="http://schemas.microsoft.com/office/spreadsheetml/2009/9/main" uri="{B025F937-C7B1-47D3-B67F-A62EFF666E3E}">
          <x14:id>{C06D41E3-2F55-36EB-3CE5-FEF189B74414}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208f0f3fe4f4cd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06D41E3-2F55-36EB-3CE5-FEF189B74414}">
            <x14:dataBar gradient="1">
              <x14:cfvo type="min"/>
              <x14:cfvo type="max"/>
              <x14:fillColor rgb="FFEB3030"/>
            </x14:dataBar>
          </x14:cfRule>
          <xm:sqref>L2:L59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30" hidden="0" customWidth="1"/>
    <x:col min="5" max="5" width="48" hidden="0" customWidth="1"/>
    <x:col min="6" max="6" width="16" hidden="0" customWidth="1"/>
    <x:col min="7" max="7" width="30" hidden="0" customWidth="1"/>
    <x:col min="8" max="8" width="14" hidden="0" customWidth="1"/>
    <x:col min="9" max="9" width="45" hidden="0" customWidth="1"/>
  </x:cols>
  <x:sheetData>
    <x:row r="1" ht="34" customHeight="1">
      <x:c r="A1" s="167" t="str">
        <x:v>序号</x:v>
      </x:c>
      <x:c r="B1" s="167" t="str">
        <x:v>讲者</x:v>
      </x:c>
      <x:c r="C1" s="167" t="str">
        <x:v>平台</x:v>
      </x:c>
      <x:c r="D1" s="167" t="str">
        <x:v>账号 / Handle</x:v>
      </x:c>
      <x:c r="E1" s="167" t="str">
        <x:v>账号 URL</x:v>
      </x:c>
      <x:c r="F1" s="167" t="str">
        <x:v>粉丝 / 订阅数</x:v>
      </x:c>
      <x:c r="G1" s="167" t="str">
        <x:v>采集状态</x:v>
      </x:c>
      <x:c r="H1" s="167" t="str">
        <x:v>核对日期</x:v>
      </x:c>
      <x:c r="I1" s="167" t="str">
        <x:v>官网来源页</x:v>
      </x:c>
    </x:row>
    <x:row r="2">
      <x:c r="A2" s="168" t="n">
        <x:v>1</x:v>
      </x:c>
      <x:c r="B2" s="168" t="str">
        <x:v>Lily Ray</x:v>
      </x:c>
      <x:c r="C2" s="168" t="str">
        <x:v>LinkedIn</x:v>
      </x:c>
      <x:c r="D2" s="168" t="str">
        <x:v>in/lily-ray-44755615</x:v>
      </x:c>
      <x:c r="E2" s="168" t="str">
        <x:v>https://www.linkedin.com/in/lily-ray-44755615/</x:v>
      </x:c>
      <x:c r="F2" s="170"/>
      <x:c r="G2" s="168" t="str">
        <x:v>平台限制：未登录不显示粉丝数</x:v>
      </x:c>
      <x:c r="H2" s="172" t="n">
        <x:v>46267</x:v>
      </x:c>
      <x:c r="I2" s="168" t="str">
        <x:v>https://shenzhenseoconference.com/speakers/lily-ray</x:v>
      </x:c>
    </x:row>
    <x:row r="3">
      <x:c r="A3" s="168" t="n">
        <x:v>2</x:v>
      </x:c>
      <x:c r="B3" s="168" t="str">
        <x:v>Lily Ray</x:v>
      </x:c>
      <x:c r="C3" s="168" t="str">
        <x:v>X</x:v>
      </x:c>
      <x:c r="D3" s="168" t="str">
        <x:v>lilyraynyc</x:v>
      </x:c>
      <x:c r="E3" s="168" t="str">
        <x:v>https://x.com/lilyraynyc</x:v>
      </x:c>
      <x:c r="F3" s="170" t="n">
        <x:v>122900</x:v>
      </x:c>
      <x:c r="G3" s="168" t="str">
        <x:v>公开可见</x:v>
      </x:c>
      <x:c r="H3" s="172" t="n">
        <x:v>46267</x:v>
      </x:c>
      <x:c r="I3" s="168" t="str">
        <x:v>https://shenzhenseoconference.com/speakers/lily-ray</x:v>
      </x:c>
    </x:row>
    <x:row r="4">
      <x:c r="A4" s="168" t="n">
        <x:v>3</x:v>
      </x:c>
      <x:c r="B4" s="168" t="str">
        <x:v>Lily Ray</x:v>
      </x:c>
      <x:c r="C4" s="168" t="str">
        <x:v>YouTube</x:v>
      </x:c>
      <x:c r="D4" s="168" t="str">
        <x:v>@lilyray</x:v>
      </x:c>
      <x:c r="E4" s="168" t="str">
        <x:v>https://www.youtube.com/@lilyray</x:v>
      </x:c>
      <x:c r="F4" s="170" t="n">
        <x:v>3370</x:v>
      </x:c>
      <x:c r="G4" s="168" t="str">
        <x:v>公开可见</x:v>
      </x:c>
      <x:c r="H4" s="172" t="n">
        <x:v>46267</x:v>
      </x:c>
      <x:c r="I4" s="168" t="str">
        <x:v>https://shenzhenseoconference.com/speakers/lily-ray</x:v>
      </x:c>
    </x:row>
    <x:row r="5">
      <x:c r="A5" s="168" t="n">
        <x:v>4</x:v>
      </x:c>
      <x:c r="B5" s="168" t="str">
        <x:v>Gary Illyes</x:v>
      </x:c>
      <x:c r="C5" s="168" t="str">
        <x:v>LinkedIn</x:v>
      </x:c>
      <x:c r="D5" s="168" t="str">
        <x:v>in/garyillyes</x:v>
      </x:c>
      <x:c r="E5" s="168" t="str">
        <x:v>https://www.linkedin.com/in/garyillyes/</x:v>
      </x:c>
      <x:c r="F5" s="170"/>
      <x:c r="G5" s="168" t="str">
        <x:v>平台限制：未登录不显示粉丝数</x:v>
      </x:c>
      <x:c r="H5" s="172" t="n">
        <x:v>46267</x:v>
      </x:c>
      <x:c r="I5" s="168" t="str">
        <x:v>https://shenzhenseoconference.com/speakers/gary-illyes</x:v>
      </x:c>
    </x:row>
    <x:row r="6">
      <x:c r="A6" s="168" t="n">
        <x:v>5</x:v>
      </x:c>
      <x:c r="B6" s="168" t="str">
        <x:v>Gary Illyes</x:v>
      </x:c>
      <x:c r="C6" s="168" t="str">
        <x:v>X</x:v>
      </x:c>
      <x:c r="D6" s="168" t="str">
        <x:v>methode</x:v>
      </x:c>
      <x:c r="E6" s="168" t="str">
        <x:v>https://x.com/methode</x:v>
      </x:c>
      <x:c r="F6" s="170" t="n">
        <x:v>43800</x:v>
      </x:c>
      <x:c r="G6" s="168" t="str">
        <x:v>公开可见</x:v>
      </x:c>
      <x:c r="H6" s="172" t="n">
        <x:v>46267</x:v>
      </x:c>
      <x:c r="I6" s="168" t="str">
        <x:v>https://shenzhenseoconference.com/speakers/gary-illyes</x:v>
      </x:c>
    </x:row>
    <x:row r="7">
      <x:c r="A7" s="168" t="n">
        <x:v>6</x:v>
      </x:c>
      <x:c r="B7" s="168" t="str">
        <x:v>Eli Schwartz</x:v>
      </x:c>
      <x:c r="C7" s="168" t="str">
        <x:v>LinkedIn</x:v>
      </x:c>
      <x:c r="D7" s="168" t="str">
        <x:v>in/schwartze</x:v>
      </x:c>
      <x:c r="E7" s="168" t="str">
        <x:v>https://www.linkedin.com/in/schwartze/</x:v>
      </x:c>
      <x:c r="F7" s="170"/>
      <x:c r="G7" s="168" t="str">
        <x:v>平台限制：未登录不显示粉丝数</x:v>
      </x:c>
      <x:c r="H7" s="172" t="n">
        <x:v>46267</x:v>
      </x:c>
      <x:c r="I7" s="168" t="str">
        <x:v>https://shenzhenseoconference.com/speakers/eli-schwartz</x:v>
      </x:c>
    </x:row>
    <x:row r="8">
      <x:c r="A8" s="168" t="n">
        <x:v>7</x:v>
      </x:c>
      <x:c r="B8" s="168" t="str">
        <x:v>Eli Schwartz</x:v>
      </x:c>
      <x:c r="C8" s="168" t="str">
        <x:v>X</x:v>
      </x:c>
      <x:c r="D8" s="168" t="str">
        <x:v>5le</x:v>
      </x:c>
      <x:c r="E8" s="168" t="str">
        <x:v>https://x.com/5le</x:v>
      </x:c>
      <x:c r="F8" s="170" t="n">
        <x:v>34400</x:v>
      </x:c>
      <x:c r="G8" s="168" t="str">
        <x:v>公开可见</x:v>
      </x:c>
      <x:c r="H8" s="172" t="n">
        <x:v>46267</x:v>
      </x:c>
      <x:c r="I8" s="168" t="str">
        <x:v>https://shenzhenseoconference.com/speakers/eli-schwartz</x:v>
      </x:c>
    </x:row>
    <x:row r="9">
      <x:c r="A9" s="168" t="n">
        <x:v>8</x:v>
      </x:c>
      <x:c r="B9" s="168" t="str">
        <x:v>Sasha Gusain</x:v>
      </x:c>
      <x:c r="C9" s="168" t="str">
        <x:v>LinkedIn</x:v>
      </x:c>
      <x:c r="D9" s="168" t="str">
        <x:v>in/sashagusain</x:v>
      </x:c>
      <x:c r="E9" s="168" t="str">
        <x:v>https://www.linkedin.com/in/sashagusain/</x:v>
      </x:c>
      <x:c r="F9" s="170"/>
      <x:c r="G9" s="168" t="str">
        <x:v>平台限制：未登录不显示粉丝数</x:v>
      </x:c>
      <x:c r="H9" s="172" t="n">
        <x:v>46267</x:v>
      </x:c>
      <x:c r="I9" s="168" t="str">
        <x:v>https://shenzhenseoconference.com/speakers/sasha-gusain</x:v>
      </x:c>
    </x:row>
    <x:row r="10">
      <x:c r="A10" s="168" t="n">
        <x:v>9</x:v>
      </x:c>
      <x:c r="B10" s="168" t="str">
        <x:v>Sasha Gusain</x:v>
      </x:c>
      <x:c r="C10" s="168" t="str">
        <x:v>X</x:v>
      </x:c>
      <x:c r="D10" s="168" t="str">
        <x:v>SashG</x:v>
      </x:c>
      <x:c r="E10" s="168" t="str">
        <x:v>https://x.com/SashG</x:v>
      </x:c>
      <x:c r="F10" s="170" t="n">
        <x:v>5576</x:v>
      </x:c>
      <x:c r="G10" s="168" t="str">
        <x:v>公开可见</x:v>
      </x:c>
      <x:c r="H10" s="172" t="n">
        <x:v>46267</x:v>
      </x:c>
      <x:c r="I10" s="168" t="str">
        <x:v>https://shenzhenseoconference.com/speakers/sasha-gusain</x:v>
      </x:c>
    </x:row>
    <x:row r="11">
      <x:c r="A11" s="168" t="n">
        <x:v>10</x:v>
      </x:c>
      <x:c r="B11" s="168" t="str">
        <x:v>Lars Lofgren</x:v>
      </x:c>
      <x:c r="C11" s="168" t="str">
        <x:v>LinkedIn</x:v>
      </x:c>
      <x:c r="D11" s="168" t="str">
        <x:v>in/larslofgren</x:v>
      </x:c>
      <x:c r="E11" s="168" t="str">
        <x:v>https://www.linkedin.com/in/larslofgren</x:v>
      </x:c>
      <x:c r="F11" s="170"/>
      <x:c r="G11" s="168" t="str">
        <x:v>平台限制：未登录不显示粉丝数</x:v>
      </x:c>
      <x:c r="H11" s="172" t="n">
        <x:v>46267</x:v>
      </x:c>
      <x:c r="I11" s="168" t="str">
        <x:v>https://shenzhenseoconference.com/speakers/lars-lofgren</x:v>
      </x:c>
    </x:row>
    <x:row r="12">
      <x:c r="A12" s="168" t="n">
        <x:v>11</x:v>
      </x:c>
      <x:c r="B12" s="168" t="str">
        <x:v>Lars Lofgren</x:v>
      </x:c>
      <x:c r="C12" s="168" t="str">
        <x:v>X</x:v>
      </x:c>
      <x:c r="D12" s="168" t="str">
        <x:v>LarsLofgren</x:v>
      </x:c>
      <x:c r="E12" s="168" t="str">
        <x:v>https://x.com/LarsLofgren</x:v>
      </x:c>
      <x:c r="F12" s="170" t="n">
        <x:v>4207</x:v>
      </x:c>
      <x:c r="G12" s="168" t="str">
        <x:v>公开可见</x:v>
      </x:c>
      <x:c r="H12" s="172" t="n">
        <x:v>46267</x:v>
      </x:c>
      <x:c r="I12" s="168" t="str">
        <x:v>https://shenzhenseoconference.com/speakers/lars-lofgren</x:v>
      </x:c>
    </x:row>
    <x:row r="13">
      <x:c r="A13" s="168" t="n">
        <x:v>12</x:v>
      </x:c>
      <x:c r="B13" s="168" t="str">
        <x:v>Marc Moeller</x:v>
      </x:c>
      <x:c r="C13" s="168" t="str">
        <x:v>LinkedIn</x:v>
      </x:c>
      <x:c r="D13" s="168" t="str">
        <x:v>in/marcmoeller-seo</x:v>
      </x:c>
      <x:c r="E13" s="168" t="str">
        <x:v>https://www.linkedin.com/in/marcmoeller-seo/</x:v>
      </x:c>
      <x:c r="F13" s="170"/>
      <x:c r="G13" s="168" t="str">
        <x:v>平台限制：未登录不显示粉丝数</x:v>
      </x:c>
      <x:c r="H13" s="172" t="n">
        <x:v>46267</x:v>
      </x:c>
      <x:c r="I13" s="168" t="str">
        <x:v>https://shenzhenseoconference.com/speakers/marc-moeller</x:v>
      </x:c>
    </x:row>
    <x:row r="14">
      <x:c r="A14" s="168" t="n">
        <x:v>13</x:v>
      </x:c>
      <x:c r="B14" s="168" t="str">
        <x:v>Marc Moeller</x:v>
      </x:c>
      <x:c r="C14" s="168" t="str">
        <x:v>YouTube</x:v>
      </x:c>
      <x:c r="D14" s="168" t="str">
        <x:v>@moellerseo</x:v>
      </x:c>
      <x:c r="E14" s="168" t="str">
        <x:v>https://www.youtube.com/@moellerseo</x:v>
      </x:c>
      <x:c r="F14" s="170" t="n">
        <x:v>28100</x:v>
      </x:c>
      <x:c r="G14" s="168" t="str">
        <x:v>公开可见</x:v>
      </x:c>
      <x:c r="H14" s="172" t="n">
        <x:v>46267</x:v>
      </x:c>
      <x:c r="I14" s="168" t="str">
        <x:v>https://shenzhenseoconference.com/speakers/marc-moeller</x:v>
      </x:c>
    </x:row>
    <x:row r="15">
      <x:c r="A15" s="168" t="n">
        <x:v>14</x:v>
      </x:c>
      <x:c r="B15" s="168" t="str">
        <x:v>Tom Qiao</x:v>
      </x:c>
      <x:c r="C15" s="168" t="str">
        <x:v>LinkedIn</x:v>
      </x:c>
      <x:c r="D15" s="168" t="str">
        <x:v>in/tomqiao</x:v>
      </x:c>
      <x:c r="E15" s="168" t="str">
        <x:v>https://www.linkedin.com/in/tomqiao/</x:v>
      </x:c>
      <x:c r="F15" s="170"/>
      <x:c r="G15" s="168" t="str">
        <x:v>平台限制：未登录不显示粉丝数</x:v>
      </x:c>
      <x:c r="H15" s="172" t="n">
        <x:v>46267</x:v>
      </x:c>
      <x:c r="I15" s="168" t="str">
        <x:v>https://shenzhenseoconference.com/speakers/tom-qiao</x:v>
      </x:c>
    </x:row>
    <x:row r="16">
      <x:c r="A16" s="168" t="n">
        <x:v>15</x:v>
      </x:c>
      <x:c r="B16" s="168" t="str">
        <x:v>Jessica Malnik</x:v>
      </x:c>
      <x:c r="C16" s="168" t="str">
        <x:v>LinkedIn</x:v>
      </x:c>
      <x:c r="D16" s="168" t="str">
        <x:v>in/jessicamalnik</x:v>
      </x:c>
      <x:c r="E16" s="168" t="str">
        <x:v>https://www.linkedin.com/in/jessicamalnik</x:v>
      </x:c>
      <x:c r="F16" s="170"/>
      <x:c r="G16" s="168" t="str">
        <x:v>平台限制：未登录不显示粉丝数</x:v>
      </x:c>
      <x:c r="H16" s="172" t="n">
        <x:v>46267</x:v>
      </x:c>
      <x:c r="I16" s="168" t="str">
        <x:v>https://shenzhenseoconference.com/speakers/jessica-malnik</x:v>
      </x:c>
    </x:row>
    <x:row r="17">
      <x:c r="A17" s="168" t="n">
        <x:v>16</x:v>
      </x:c>
      <x:c r="B17" s="168" t="str">
        <x:v>Jessica Malnik</x:v>
      </x:c>
      <x:c r="C17" s="168" t="str">
        <x:v>X</x:v>
      </x:c>
      <x:c r="D17" s="168" t="str">
        <x:v>jessicamalnik</x:v>
      </x:c>
      <x:c r="E17" s="168" t="str">
        <x:v>https://x.com/jessicamalnik</x:v>
      </x:c>
      <x:c r="F17" s="170" t="n">
        <x:v>4580</x:v>
      </x:c>
      <x:c r="G17" s="168" t="str">
        <x:v>公开可见</x:v>
      </x:c>
      <x:c r="H17" s="172" t="n">
        <x:v>46267</x:v>
      </x:c>
      <x:c r="I17" s="168" t="str">
        <x:v>https://shenzhenseoconference.com/speakers/jessica-malnik</x:v>
      </x:c>
    </x:row>
    <x:row r="18">
      <x:c r="A18" s="168" t="n">
        <x:v>17</x:v>
      </x:c>
      <x:c r="B18" s="168" t="str">
        <x:v>Jessica Malnik</x:v>
      </x:c>
      <x:c r="C18" s="168" t="str">
        <x:v>YouTube</x:v>
      </x:c>
      <x:c r="D18" s="168" t="str">
        <x:v>@JMalnik</x:v>
      </x:c>
      <x:c r="E18" s="168" t="str">
        <x:v>https://www.youtube.com/@JMalnik</x:v>
      </x:c>
      <x:c r="F18" s="170" t="n">
        <x:v>129</x:v>
      </x:c>
      <x:c r="G18" s="168" t="str">
        <x:v>公开可见</x:v>
      </x:c>
      <x:c r="H18" s="172" t="n">
        <x:v>46267</x:v>
      </x:c>
      <x:c r="I18" s="168" t="str">
        <x:v>https://shenzhenseoconference.com/speakers/jessica-malnik</x:v>
      </x:c>
    </x:row>
    <x:row r="19">
      <x:c r="A19" s="168" t="n">
        <x:v>18</x:v>
      </x:c>
      <x:c r="B19" s="168" t="str">
        <x:v>Zack Franklin</x:v>
      </x:c>
      <x:c r="C19" s="168" t="str">
        <x:v>LinkedIn</x:v>
      </x:c>
      <x:c r="D19" s="168" t="str">
        <x:v>in/zackjf</x:v>
      </x:c>
      <x:c r="E19" s="168" t="str">
        <x:v>https://www.linkedin.com/in/zackjf/</x:v>
      </x:c>
      <x:c r="F19" s="170"/>
      <x:c r="G19" s="168" t="str">
        <x:v>平台限制：未登录不显示粉丝数</x:v>
      </x:c>
      <x:c r="H19" s="172" t="n">
        <x:v>46267</x:v>
      </x:c>
      <x:c r="I19" s="168" t="str">
        <x:v>https://shenzhenseoconference.com/speakers/zack-franklin</x:v>
      </x:c>
    </x:row>
    <x:row r="20">
      <x:c r="A20" s="168" t="n">
        <x:v>19</x:v>
      </x:c>
      <x:c r="B20" s="168" t="str">
        <x:v>Nick Drewe</x:v>
      </x:c>
      <x:c r="C20" s="168" t="str">
        <x:v>LinkedIn</x:v>
      </x:c>
      <x:c r="D20" s="168" t="str">
        <x:v>in/nickdrewe</x:v>
      </x:c>
      <x:c r="E20" s="168" t="str">
        <x:v>https://www.linkedin.com/in/nickdrewe/</x:v>
      </x:c>
      <x:c r="F20" s="170"/>
      <x:c r="G20" s="168" t="str">
        <x:v>平台限制：未登录不显示粉丝数</x:v>
      </x:c>
      <x:c r="H20" s="172" t="n">
        <x:v>46267</x:v>
      </x:c>
      <x:c r="I20" s="168" t="str">
        <x:v>https://shenzhenseoconference.com/speakers/nick-drewe</x:v>
      </x:c>
    </x:row>
    <x:row r="21">
      <x:c r="A21" s="168" t="n">
        <x:v>20</x:v>
      </x:c>
      <x:c r="B21" s="168" t="str">
        <x:v>Josh Blyskal</x:v>
      </x:c>
      <x:c r="C21" s="168" t="str">
        <x:v>LinkedIn</x:v>
      </x:c>
      <x:c r="D21" s="168" t="str">
        <x:v>in/joshua-blyskal</x:v>
      </x:c>
      <x:c r="E21" s="168" t="str">
        <x:v>https://www.linkedin.com/in/joshua-blyskal/</x:v>
      </x:c>
      <x:c r="F21" s="170"/>
      <x:c r="G21" s="168" t="str">
        <x:v>平台限制：未登录不显示粉丝数</x:v>
      </x:c>
      <x:c r="H21" s="172" t="n">
        <x:v>46267</x:v>
      </x:c>
      <x:c r="I21" s="168" t="str">
        <x:v>https://shenzhenseoconference.com/speakers/josh-blyskal</x:v>
      </x:c>
    </x:row>
    <x:row r="22">
      <x:c r="A22" s="168" t="n">
        <x:v>21</x:v>
      </x:c>
      <x:c r="B22" s="168" t="str">
        <x:v>Josh Blyskal</x:v>
      </x:c>
      <x:c r="C22" s="168" t="str">
        <x:v>X</x:v>
      </x:c>
      <x:c r="D22" s="168" t="str">
        <x:v>JBlyskal</x:v>
      </x:c>
      <x:c r="E22" s="168" t="str">
        <x:v>https://x.com/JBlyskal</x:v>
      </x:c>
      <x:c r="F22" s="170" t="n">
        <x:v>178</x:v>
      </x:c>
      <x:c r="G22" s="168" t="str">
        <x:v>公开可见</x:v>
      </x:c>
      <x:c r="H22" s="172" t="n">
        <x:v>46267</x:v>
      </x:c>
      <x:c r="I22" s="168" t="str">
        <x:v>https://shenzhenseoconference.com/speakers/josh-blyskal</x:v>
      </x:c>
    </x:row>
    <x:row r="23">
      <x:c r="A23" s="168" t="n">
        <x:v>22</x:v>
      </x:c>
      <x:c r="B23" s="168" t="str">
        <x:v>Nik Ranger</x:v>
      </x:c>
      <x:c r="C23" s="168" t="str">
        <x:v>LinkedIn</x:v>
      </x:c>
      <x:c r="D23" s="168" t="str">
        <x:v>in/nik-ranger</x:v>
      </x:c>
      <x:c r="E23" s="168" t="str">
        <x:v>https://www.linkedin.com/in/nik-ranger/</x:v>
      </x:c>
      <x:c r="F23" s="170"/>
      <x:c r="G23" s="168" t="str">
        <x:v>平台限制：未登录不显示粉丝数</x:v>
      </x:c>
      <x:c r="H23" s="172" t="n">
        <x:v>46267</x:v>
      </x:c>
      <x:c r="I23" s="168" t="str">
        <x:v>https://shenzhenseoconference.com/speakers/nik-ranger</x:v>
      </x:c>
    </x:row>
    <x:row r="24">
      <x:c r="A24" s="168" t="n">
        <x:v>23</x:v>
      </x:c>
      <x:c r="B24" s="168" t="str">
        <x:v>Nik Ranger</x:v>
      </x:c>
      <x:c r="C24" s="168" t="str">
        <x:v>X</x:v>
      </x:c>
      <x:c r="D24" s="168" t="str">
        <x:v>nikrangerseo</x:v>
      </x:c>
      <x:c r="E24" s="168" t="str">
        <x:v>https://x.com/nikrangerseo</x:v>
      </x:c>
      <x:c r="F24" s="170" t="n">
        <x:v>4720</x:v>
      </x:c>
      <x:c r="G24" s="168" t="str">
        <x:v>公开可见</x:v>
      </x:c>
      <x:c r="H24" s="172" t="n">
        <x:v>46267</x:v>
      </x:c>
      <x:c r="I24" s="168" t="str">
        <x:v>https://shenzhenseoconference.com/speakers/nik-ranger</x:v>
      </x:c>
    </x:row>
    <x:row r="25">
      <x:c r="A25" s="168" t="n">
        <x:v>24</x:v>
      </x:c>
      <x:c r="B25" s="168" t="str">
        <x:v>Si Quan Ong</x:v>
      </x:c>
      <x:c r="C25" s="168" t="str">
        <x:v>LinkedIn</x:v>
      </x:c>
      <x:c r="D25" s="168" t="str">
        <x:v>in/si-quan-ong</x:v>
      </x:c>
      <x:c r="E25" s="168" t="str">
        <x:v>https://www.linkedin.com/in/si-quan-ong/</x:v>
      </x:c>
      <x:c r="F25" s="170"/>
      <x:c r="G25" s="168" t="str">
        <x:v>平台限制：未登录不显示粉丝数</x:v>
      </x:c>
      <x:c r="H25" s="172" t="n">
        <x:v>46267</x:v>
      </x:c>
      <x:c r="I25" s="168" t="str">
        <x:v>https://shenzhenseoconference.com/speakers/si-quan-ong</x:v>
      </x:c>
    </x:row>
    <x:row r="26">
      <x:c r="A26" s="168" t="n">
        <x:v>25</x:v>
      </x:c>
      <x:c r="B26" s="168" t="str">
        <x:v>Si Quan Ong</x:v>
      </x:c>
      <x:c r="C26" s="168" t="str">
        <x:v>X</x:v>
      </x:c>
      <x:c r="D26" s="168" t="str">
        <x:v>siquanong</x:v>
      </x:c>
      <x:c r="E26" s="168" t="str">
        <x:v>https://x.com/siquanong</x:v>
      </x:c>
      <x:c r="F26" s="170" t="n">
        <x:v>3570</x:v>
      </x:c>
      <x:c r="G26" s="168" t="str">
        <x:v>公开可见</x:v>
      </x:c>
      <x:c r="H26" s="172" t="n">
        <x:v>46267</x:v>
      </x:c>
      <x:c r="I26" s="168" t="str">
        <x:v>https://shenzhenseoconference.com/speakers/si-quan-ong</x:v>
      </x:c>
    </x:row>
    <x:row r="27">
      <x:c r="A27" s="168" t="n">
        <x:v>26</x:v>
      </x:c>
      <x:c r="B27" s="168" t="str">
        <x:v>Loki Yan</x:v>
      </x:c>
      <x:c r="C27" s="168" t="str">
        <x:v>LinkedIn</x:v>
      </x:c>
      <x:c r="D27" s="168" t="str">
        <x:v>in/xinyuan-loki-y-86aa1456</x:v>
      </x:c>
      <x:c r="E27" s="168" t="str">
        <x:v>https://www.linkedin.com/in/xinyuan-loki-y-86aa1456/</x:v>
      </x:c>
      <x:c r="F27" s="170"/>
      <x:c r="G27" s="168" t="str">
        <x:v>平台限制：未登录不显示粉丝数</x:v>
      </x:c>
      <x:c r="H27" s="172" t="n">
        <x:v>46267</x:v>
      </x:c>
      <x:c r="I27" s="168" t="str">
        <x:v>https://shenzhenseoconference.com/speakers/loki-yan</x:v>
      </x:c>
    </x:row>
    <x:row r="28">
      <x:c r="A28" s="168" t="n">
        <x:v>27</x:v>
      </x:c>
      <x:c r="B28" s="168" t="str">
        <x:v>Loki Yan</x:v>
      </x:c>
      <x:c r="C28" s="168" t="str">
        <x:v>YouTube</x:v>
      </x:c>
      <x:c r="D28" s="168" t="str">
        <x:v>@seolokiyan</x:v>
      </x:c>
      <x:c r="E28" s="168" t="str">
        <x:v>https://www.youtube.com/@seolokiyan</x:v>
      </x:c>
      <x:c r="F28" s="170" t="n">
        <x:v>28</x:v>
      </x:c>
      <x:c r="G28" s="168" t="str">
        <x:v>公开可见</x:v>
      </x:c>
      <x:c r="H28" s="172" t="n">
        <x:v>46267</x:v>
      </x:c>
      <x:c r="I28" s="168" t="str">
        <x:v>https://shenzhenseoconference.com/speakers/loki-yan</x:v>
      </x:c>
    </x:row>
    <x:row r="29">
      <x:c r="A29" s="168" t="n">
        <x:v>28</x:v>
      </x:c>
      <x:c r="B29" s="168" t="str">
        <x:v>Doug Pierce</x:v>
      </x:c>
      <x:c r="C29" s="168" t="str">
        <x:v>LinkedIn</x:v>
      </x:c>
      <x:c r="D29" s="168" t="str">
        <x:v>in/douglasapierce</x:v>
      </x:c>
      <x:c r="E29" s="168" t="str">
        <x:v>https://www.linkedin.com/in/douglasapierce/</x:v>
      </x:c>
      <x:c r="F29" s="170"/>
      <x:c r="G29" s="168" t="str">
        <x:v>平台限制：未登录不显示粉丝数</x:v>
      </x:c>
      <x:c r="H29" s="172" t="n">
        <x:v>46267</x:v>
      </x:c>
      <x:c r="I29" s="168" t="str">
        <x:v>https://shenzhenseoconference.com/speakers/doug-pierce</x:v>
      </x:c>
    </x:row>
    <x:row r="30">
      <x:c r="A30" s="168" t="n">
        <x:v>29</x:v>
      </x:c>
      <x:c r="B30" s="168" t="str">
        <x:v>Mao Kawana</x:v>
      </x:c>
      <x:c r="C30" s="168" t="str">
        <x:v>LinkedIn</x:v>
      </x:c>
      <x:c r="D30" s="168" t="str">
        <x:v>in/maokawana</x:v>
      </x:c>
      <x:c r="E30" s="168" t="str">
        <x:v>https://www.linkedin.com/in/maokawana/</x:v>
      </x:c>
      <x:c r="F30" s="170"/>
      <x:c r="G30" s="168" t="str">
        <x:v>平台限制：未登录不显示粉丝数</x:v>
      </x:c>
      <x:c r="H30" s="172" t="n">
        <x:v>46267</x:v>
      </x:c>
      <x:c r="I30" s="168" t="str">
        <x:v>https://shenzhenseoconference.com/speakers/mao-kawana</x:v>
      </x:c>
    </x:row>
    <x:row r="31">
      <x:c r="A31" s="168" t="n">
        <x:v>30</x:v>
      </x:c>
      <x:c r="B31" s="168" t="str">
        <x:v>Polina Kogan</x:v>
      </x:c>
      <x:c r="C31" s="168" t="str">
        <x:v>LinkedIn</x:v>
      </x:c>
      <x:c r="D31" s="168" t="str">
        <x:v>in/polina-kogan-53965074</x:v>
      </x:c>
      <x:c r="E31" s="168" t="str">
        <x:v>https://www.linkedin.com/in/polina-kogan-53965074/</x:v>
      </x:c>
      <x:c r="F31" s="170"/>
      <x:c r="G31" s="168" t="str">
        <x:v>平台限制：未登录不显示粉丝数</x:v>
      </x:c>
      <x:c r="H31" s="172" t="n">
        <x:v>46267</x:v>
      </x:c>
      <x:c r="I31" s="168" t="str">
        <x:v>https://shenzhenseoconference.com/speakers/polina-kogan</x:v>
      </x:c>
    </x:row>
    <x:row r="32">
      <x:c r="A32" s="168" t="n">
        <x:v>31</x:v>
      </x:c>
      <x:c r="B32" s="168" t="str">
        <x:v>Victor Huynh</x:v>
      </x:c>
      <x:c r="C32" s="168" t="str">
        <x:v>LinkedIn</x:v>
      </x:c>
      <x:c r="D32" s="168" t="str">
        <x:v>in/victor-huynh-581b82</x:v>
      </x:c>
      <x:c r="E32" s="168" t="str">
        <x:v>https://www.linkedin.com/in/victor-huynh-581b82/</x:v>
      </x:c>
      <x:c r="F32" s="170"/>
      <x:c r="G32" s="168" t="str">
        <x:v>平台限制：未登录不显示粉丝数</x:v>
      </x:c>
      <x:c r="H32" s="172" t="n">
        <x:v>46267</x:v>
      </x:c>
      <x:c r="I32" s="168" t="str">
        <x:v>https://shenzhenseoconference.com/speakers/victor-huynh</x:v>
      </x:c>
    </x:row>
    <x:row r="33">
      <x:c r="A33" s="168" t="n">
        <x:v>32</x:v>
      </x:c>
      <x:c r="B33" s="168" t="str">
        <x:v>Victor Huynh</x:v>
      </x:c>
      <x:c r="C33" s="168" t="str">
        <x:v>YouTube</x:v>
      </x:c>
      <x:c r="D33" s="168" t="str">
        <x:v>@ReadyArtwork</x:v>
      </x:c>
      <x:c r="E33" s="168" t="str">
        <x:v>https://www.youtube.com/@ReadyArtwork</x:v>
      </x:c>
      <x:c r="F33" s="170" t="n">
        <x:v>118</x:v>
      </x:c>
      <x:c r="G33" s="168" t="str">
        <x:v>公开可见</x:v>
      </x:c>
      <x:c r="H33" s="172" t="n">
        <x:v>46267</x:v>
      </x:c>
      <x:c r="I33" s="168" t="str">
        <x:v>https://shenzhenseoconference.com/speakers/victor-huynh</x:v>
      </x:c>
    </x:row>
    <x:row r="34">
      <x:c r="A34" s="168" t="n">
        <x:v>33</x:v>
      </x:c>
      <x:c r="B34" s="168" t="str">
        <x:v>Cristina Song</x:v>
      </x:c>
      <x:c r="C34" s="168" t="str">
        <x:v>LinkedIn</x:v>
      </x:c>
      <x:c r="D34" s="168" t="str">
        <x:v>in/cristinassong</x:v>
      </x:c>
      <x:c r="E34" s="168" t="str">
        <x:v>https://www.linkedin.com/in/cristinassong/</x:v>
      </x:c>
      <x:c r="F34" s="170"/>
      <x:c r="G34" s="168" t="str">
        <x:v>平台限制：未登录不显示粉丝数</x:v>
      </x:c>
      <x:c r="H34" s="172" t="n">
        <x:v>46267</x:v>
      </x:c>
      <x:c r="I34" s="168" t="str">
        <x:v>https://shenzhenseoconference.com/speakers/cristina-song</x:v>
      </x:c>
    </x:row>
    <x:row r="35">
      <x:c r="A35" s="168" t="n">
        <x:v>34</x:v>
      </x:c>
      <x:c r="B35" s="168" t="str">
        <x:v>Jiyoung Lee</x:v>
      </x:c>
      <x:c r="C35" s="168" t="str">
        <x:v>LinkedIn</x:v>
      </x:c>
      <x:c r="D35" s="168" t="str">
        <x:v>in/jiyoung-lee-marketing-specialist</x:v>
      </x:c>
      <x:c r="E35" s="168" t="str">
        <x:v>https://www.linkedin.com/in/jiyoung-lee-marketing-specialist/</x:v>
      </x:c>
      <x:c r="F35" s="170"/>
      <x:c r="G35" s="168" t="str">
        <x:v>平台限制：未登录不显示粉丝数</x:v>
      </x:c>
      <x:c r="H35" s="172" t="n">
        <x:v>46267</x:v>
      </x:c>
      <x:c r="I35" s="168" t="str">
        <x:v>https://shenzhenseoconference.com/speakers/jiyoung-lee</x:v>
      </x:c>
    </x:row>
    <x:row r="36">
      <x:c r="A36" s="168" t="n">
        <x:v>35</x:v>
      </x:c>
      <x:c r="B36" s="168" t="str">
        <x:v>Owain Lloyd-Williams</x:v>
      </x:c>
      <x:c r="C36" s="168" t="str">
        <x:v>LinkedIn</x:v>
      </x:c>
      <x:c r="D36" s="168" t="str">
        <x:v>in/owain-lloyd-williams-a8967852</x:v>
      </x:c>
      <x:c r="E36" s="168" t="str">
        <x:v>https://www.linkedin.com/in/owain-lloyd-williams-a8967852/</x:v>
      </x:c>
      <x:c r="F36" s="170"/>
      <x:c r="G36" s="168" t="str">
        <x:v>平台限制：未登录不显示粉丝数</x:v>
      </x:c>
      <x:c r="H36" s="172" t="n">
        <x:v>46267</x:v>
      </x:c>
      <x:c r="I36" s="168" t="str">
        <x:v>https://shenzhenseoconference.com/speakers/owain-lloyd-williams</x:v>
      </x:c>
    </x:row>
    <x:row r="37">
      <x:c r="A37" s="168" t="n">
        <x:v>36</x:v>
      </x:c>
      <x:c r="B37" s="168" t="str">
        <x:v>Owain Lloyd-Williams</x:v>
      </x:c>
      <x:c r="C37" s="168" t="str">
        <x:v>X</x:v>
      </x:c>
      <x:c r="D37" s="168" t="str">
        <x:v>Owain_LW</x:v>
      </x:c>
      <x:c r="E37" s="168" t="str">
        <x:v>https://x.com/Owain_LW</x:v>
      </x:c>
      <x:c r="F37" s="170" t="n">
        <x:v>574</x:v>
      </x:c>
      <x:c r="G37" s="168" t="str">
        <x:v>公开可见</x:v>
      </x:c>
      <x:c r="H37" s="172" t="n">
        <x:v>46267</x:v>
      </x:c>
      <x:c r="I37" s="168" t="str">
        <x:v>https://shenzhenseoconference.com/speakers/owain-lloyd-williams</x:v>
      </x:c>
    </x:row>
    <x:row r="38">
      <x:c r="A38" s="168" t="n">
        <x:v>37</x:v>
      </x:c>
      <x:c r="B38" s="168" t="str">
        <x:v>Sebastien Edgar</x:v>
      </x:c>
      <x:c r="C38" s="168" t="str">
        <x:v>LinkedIn</x:v>
      </x:c>
      <x:c r="D38" s="168" t="str">
        <x:v>in/sebastienedgar</x:v>
      </x:c>
      <x:c r="E38" s="168" t="str">
        <x:v>https://www.linkedin.com/in/sebastienedgar/</x:v>
      </x:c>
      <x:c r="F38" s="170"/>
      <x:c r="G38" s="168" t="str">
        <x:v>平台限制：未登录不显示粉丝数</x:v>
      </x:c>
      <x:c r="H38" s="172" t="n">
        <x:v>46267</x:v>
      </x:c>
      <x:c r="I38" s="168" t="str">
        <x:v>https://shenzhenseoconference.com/speakers/sebastien-edgar</x:v>
      </x:c>
    </x:row>
    <x:row r="39">
      <x:c r="A39" s="168" t="n">
        <x:v>38</x:v>
      </x:c>
      <x:c r="B39" s="168" t="str">
        <x:v>Max Kuch</x:v>
      </x:c>
      <x:c r="C39" s="168" t="str">
        <x:v>LinkedIn</x:v>
      </x:c>
      <x:c r="D39" s="168" t="str">
        <x:v>in/maximilian-kuch</x:v>
      </x:c>
      <x:c r="E39" s="168" t="str">
        <x:v>https://www.linkedin.com/in/maximilian-kuch/</x:v>
      </x:c>
      <x:c r="F39" s="170"/>
      <x:c r="G39" s="168" t="str">
        <x:v>平台限制：未登录不显示粉丝数</x:v>
      </x:c>
      <x:c r="H39" s="172" t="n">
        <x:v>46267</x:v>
      </x:c>
      <x:c r="I39" s="168" t="str">
        <x:v>https://shenzhenseoconference.com/speakers/max-kuch</x:v>
      </x:c>
    </x:row>
    <x:row r="40">
      <x:c r="A40" s="168" t="n">
        <x:v>39</x:v>
      </x:c>
      <x:c r="B40" s="168" t="str">
        <x:v>Max Kuch</x:v>
      </x:c>
      <x:c r="C40" s="168" t="str">
        <x:v>X</x:v>
      </x:c>
      <x:c r="D40" s="168" t="str">
        <x:v>maxkuchcom</x:v>
      </x:c>
      <x:c r="E40" s="168" t="str">
        <x:v>https://x.com/maxkuchcom</x:v>
      </x:c>
      <x:c r="F40" s="170" t="n">
        <x:v>371</x:v>
      </x:c>
      <x:c r="G40" s="168" t="str">
        <x:v>公开可见</x:v>
      </x:c>
      <x:c r="H40" s="172" t="n">
        <x:v>46267</x:v>
      </x:c>
      <x:c r="I40" s="168" t="str">
        <x:v>https://shenzhenseoconference.com/speakers/max-kuch</x:v>
      </x:c>
    </x:row>
    <x:row r="41">
      <x:c r="A41" s="168" t="n">
        <x:v>40</x:v>
      </x:c>
      <x:c r="B41" s="168" t="str">
        <x:v>Max Kuch</x:v>
      </x:c>
      <x:c r="C41" s="168" t="str">
        <x:v>YouTube</x:v>
      </x:c>
      <x:c r="D41" s="168" t="str">
        <x:v>@maxkuchcom</x:v>
      </x:c>
      <x:c r="E41" s="168" t="str">
        <x:v>https://www.youtube.com/@maxkuchcom</x:v>
      </x:c>
      <x:c r="F41" s="170" t="n">
        <x:v>188</x:v>
      </x:c>
      <x:c r="G41" s="168" t="str">
        <x:v>公开可见</x:v>
      </x:c>
      <x:c r="H41" s="172" t="n">
        <x:v>46267</x:v>
      </x:c>
      <x:c r="I41" s="168" t="str">
        <x:v>https://shenzhenseoconference.com/speakers/max-kuch</x:v>
      </x:c>
    </x:row>
    <x:row r="42">
      <x:c r="A42" s="168" t="n">
        <x:v>41</x:v>
      </x:c>
      <x:c r="B42" s="168" t="str">
        <x:v>Kun Tang</x:v>
      </x:c>
      <x:c r="C42" s="168" t="str">
        <x:v>LinkedIn</x:v>
      </x:c>
      <x:c r="D42" s="168" t="str">
        <x:v>in/kuntang</x:v>
      </x:c>
      <x:c r="E42" s="168" t="str">
        <x:v>https://www.linkedin.com/in/kuntang/</x:v>
      </x:c>
      <x:c r="F42" s="170"/>
      <x:c r="G42" s="168" t="str">
        <x:v>平台限制：未登录不显示粉丝数</x:v>
      </x:c>
      <x:c r="H42" s="172" t="n">
        <x:v>46267</x:v>
      </x:c>
      <x:c r="I42" s="168" t="str">
        <x:v>https://shenzhenseoconference.com/speakers/kun-tang</x:v>
      </x:c>
    </x:row>
    <x:row r="43">
      <x:c r="A43" s="168" t="n">
        <x:v>42</x:v>
      </x:c>
      <x:c r="B43" s="168" t="str">
        <x:v>Andy Wu</x:v>
      </x:c>
      <x:c r="C43" s="168" t="str">
        <x:v>LinkedIn</x:v>
      </x:c>
      <x:c r="D43" s="168" t="str">
        <x:v>in/andywu1</x:v>
      </x:c>
      <x:c r="E43" s="168" t="str">
        <x:v>https://www.linkedin.com/in/andywu1/</x:v>
      </x:c>
      <x:c r="F43" s="170"/>
      <x:c r="G43" s="168" t="str">
        <x:v>平台限制：未登录不显示粉丝数</x:v>
      </x:c>
      <x:c r="H43" s="172" t="n">
        <x:v>46267</x:v>
      </x:c>
      <x:c r="I43" s="168" t="str">
        <x:v>https://shenzhenseoconference.com/speakers/andy-wu</x:v>
      </x:c>
    </x:row>
    <x:row r="44">
      <x:c r="A44" s="168" t="n">
        <x:v>43</x:v>
      </x:c>
      <x:c r="B44" s="168" t="str">
        <x:v>Johann Sathianathen</x:v>
      </x:c>
      <x:c r="C44" s="168" t="str">
        <x:v>LinkedIn</x:v>
      </x:c>
      <x:c r="D44" s="168" t="str">
        <x:v>in/jsathianathen</x:v>
      </x:c>
      <x:c r="E44" s="168" t="str">
        <x:v>https://www.linkedin.com/in/jsathianathen/</x:v>
      </x:c>
      <x:c r="F44" s="170"/>
      <x:c r="G44" s="168" t="str">
        <x:v>平台限制：未登录不显示粉丝数</x:v>
      </x:c>
      <x:c r="H44" s="172" t="n">
        <x:v>46267</x:v>
      </x:c>
      <x:c r="I44" s="168" t="str">
        <x:v>https://shenzhenseoconference.com/speakers/johann-sathianathen</x:v>
      </x:c>
    </x:row>
    <x:row r="45">
      <x:c r="A45" s="168" t="n">
        <x:v>44</x:v>
      </x:c>
      <x:c r="B45" s="168" t="str">
        <x:v>Johann Sathianathen</x:v>
      </x:c>
      <x:c r="C45" s="168" t="str">
        <x:v>X</x:v>
      </x:c>
      <x:c r="D45" s="168" t="str">
        <x:v>johann_sath</x:v>
      </x:c>
      <x:c r="E45" s="168" t="str">
        <x:v>https://x.com/johann_sath</x:v>
      </x:c>
      <x:c r="F45" s="170" t="n">
        <x:v>9300</x:v>
      </x:c>
      <x:c r="G45" s="168" t="str">
        <x:v>公开可见</x:v>
      </x:c>
      <x:c r="H45" s="172" t="n">
        <x:v>46267</x:v>
      </x:c>
      <x:c r="I45" s="168" t="str">
        <x:v>https://shenzhenseoconference.com/speakers/johann-sathianathen</x:v>
      </x:c>
    </x:row>
    <x:row r="46">
      <x:c r="A46" s="168" t="n">
        <x:v>45</x:v>
      </x:c>
      <x:c r="B46" s="168" t="str">
        <x:v>Johann Sathianathen</x:v>
      </x:c>
      <x:c r="C46" s="168" t="str">
        <x:v>YouTube</x:v>
      </x:c>
      <x:c r="D46" s="168" t="str">
        <x:v>@johannships</x:v>
      </x:c>
      <x:c r="E46" s="168" t="str">
        <x:v>https://www.youtube.com/@johannships</x:v>
      </x:c>
      <x:c r="F46" s="170" t="n">
        <x:v>1890</x:v>
      </x:c>
      <x:c r="G46" s="168" t="str">
        <x:v>公开可见</x:v>
      </x:c>
      <x:c r="H46" s="172" t="n">
        <x:v>46267</x:v>
      </x:c>
      <x:c r="I46" s="168" t="str">
        <x:v>https://shenzhenseoconference.com/speakers/johann-sathianathen</x:v>
      </x:c>
    </x:row>
    <x:row r="47">
      <x:c r="A47" s="168" t="n">
        <x:v>46</x:v>
      </x:c>
      <x:c r="B47" s="168" t="str">
        <x:v>Roger Yin</x:v>
      </x:c>
      <x:c r="C47" s="168" t="str">
        <x:v>LinkedIn</x:v>
      </x:c>
      <x:c r="D47" s="168" t="str">
        <x:v>in/mzyin</x:v>
      </x:c>
      <x:c r="E47" s="168" t="str">
        <x:v>https://www.linkedin.com/in/mzyin/</x:v>
      </x:c>
      <x:c r="F47" s="170"/>
      <x:c r="G47" s="168" t="str">
        <x:v>平台限制：未登录不显示粉丝数</x:v>
      </x:c>
      <x:c r="H47" s="172" t="n">
        <x:v>46267</x:v>
      </x:c>
      <x:c r="I47" s="168" t="str">
        <x:v>https://shenzhenseoconference.com/speakers/roger-yin</x:v>
      </x:c>
    </x:row>
    <x:row r="48">
      <x:c r="A48" s="168" t="n">
        <x:v>47</x:v>
      </x:c>
      <x:c r="B48" s="168" t="str">
        <x:v>Roger Yin</x:v>
      </x:c>
      <x:c r="C48" s="168" t="str">
        <x:v>X</x:v>
      </x:c>
      <x:c r="D48" s="168" t="str">
        <x:v>daluoseo</x:v>
      </x:c>
      <x:c r="E48" s="168" t="str">
        <x:v>https://x.com/daluoseo</x:v>
      </x:c>
      <x:c r="F48" s="170" t="n">
        <x:v>11100</x:v>
      </x:c>
      <x:c r="G48" s="168" t="str">
        <x:v>公开可见</x:v>
      </x:c>
      <x:c r="H48" s="172" t="n">
        <x:v>46267</x:v>
      </x:c>
      <x:c r="I48" s="168" t="str">
        <x:v>https://shenzhenseoconference.com/speakers/roger-yin</x:v>
      </x:c>
    </x:row>
    <x:row r="49">
      <x:c r="A49" s="168" t="n">
        <x:v>48</x:v>
      </x:c>
      <x:c r="B49" s="168" t="str">
        <x:v>Roger Yin</x:v>
      </x:c>
      <x:c r="C49" s="168" t="str">
        <x:v>YouTube</x:v>
      </x:c>
      <x:c r="D49" s="168" t="str">
        <x:v>@daluoseo</x:v>
      </x:c>
      <x:c r="E49" s="168" t="str">
        <x:v>https://www.youtube.com/@daluoseo</x:v>
      </x:c>
      <x:c r="F49" s="170" t="n">
        <x:v>4640</x:v>
      </x:c>
      <x:c r="G49" s="168" t="str">
        <x:v>公开可见</x:v>
      </x:c>
      <x:c r="H49" s="172" t="n">
        <x:v>46267</x:v>
      </x:c>
      <x:c r="I49" s="168" t="str">
        <x:v>https://shenzhenseoconference.com/speakers/roger-yin</x:v>
      </x:c>
    </x:row>
    <x:row r="50">
      <x:c r="A50" s="168" t="n">
        <x:v>49</x:v>
      </x:c>
      <x:c r="B50" s="168" t="str">
        <x:v>David Carrasco</x:v>
      </x:c>
      <x:c r="C50" s="168" t="str">
        <x:v>LinkedIn</x:v>
      </x:c>
      <x:c r="D50" s="168" t="str">
        <x:v>in/david-carrasco-pamies</x:v>
      </x:c>
      <x:c r="E50" s="168" t="str">
        <x:v>https://www.linkedin.com/in/david-carrasco-pamies/</x:v>
      </x:c>
      <x:c r="F50" s="170"/>
      <x:c r="G50" s="168" t="str">
        <x:v>平台限制：未登录不显示粉丝数</x:v>
      </x:c>
      <x:c r="H50" s="172" t="n">
        <x:v>46267</x:v>
      </x:c>
      <x:c r="I50" s="168" t="str">
        <x:v>https://shenzhenseoconference.com/speakers/david-carrasco</x:v>
      </x:c>
    </x:row>
    <x:row r="51">
      <x:c r="A51" s="168" t="n">
        <x:v>50</x:v>
      </x:c>
      <x:c r="B51" s="168" t="str">
        <x:v>David Carrasco</x:v>
      </x:c>
      <x:c r="C51" s="168" t="str">
        <x:v>X</x:v>
      </x:c>
      <x:c r="D51" s="168" t="str">
        <x:v>davidcarrascop</x:v>
      </x:c>
      <x:c r="E51" s="168" t="str">
        <x:v>https://x.com/davidcarrascop</x:v>
      </x:c>
      <x:c r="F51" s="170" t="n">
        <x:v>1645</x:v>
      </x:c>
      <x:c r="G51" s="168" t="str">
        <x:v>公开可见</x:v>
      </x:c>
      <x:c r="H51" s="172" t="n">
        <x:v>46267</x:v>
      </x:c>
      <x:c r="I51" s="168" t="str">
        <x:v>https://shenzhenseoconference.com/speakers/david-carrasco</x:v>
      </x:c>
    </x:row>
    <x:row r="52">
      <x:c r="A52" s="168" t="n">
        <x:v>51</x:v>
      </x:c>
      <x:c r="B52" s="168" t="str">
        <x:v>David Carrasco</x:v>
      </x:c>
      <x:c r="C52" s="168" t="str">
        <x:v>YouTube</x:v>
      </x:c>
      <x:c r="D52" s="168" t="str">
        <x:v>@david_carrasco</x:v>
      </x:c>
      <x:c r="E52" s="168" t="str">
        <x:v>https://www.youtube.com/@david_carrasco/</x:v>
      </x:c>
      <x:c r="F52" s="170" t="n">
        <x:v>88</x:v>
      </x:c>
      <x:c r="G52" s="168" t="str">
        <x:v>公开可见</x:v>
      </x:c>
      <x:c r="H52" s="172" t="n">
        <x:v>46267</x:v>
      </x:c>
      <x:c r="I52" s="168" t="str">
        <x:v>https://shenzhenseoconference.com/speakers/david-carrasco</x:v>
      </x:c>
    </x:row>
    <x:row r="53">
      <x:c r="A53" s="168" t="n">
        <x:v>52</x:v>
      </x:c>
      <x:c r="B53" s="168" t="str">
        <x:v>Andrea Abbondanza</x:v>
      </x:c>
      <x:c r="C53" s="168" t="str">
        <x:v>LinkedIn</x:v>
      </x:c>
      <x:c r="D53" s="168" t="str">
        <x:v>in/andrea-abbondanza</x:v>
      </x:c>
      <x:c r="E53" s="168" t="str">
        <x:v>https://www.linkedin.com/in/andrea-abbondanza/</x:v>
      </x:c>
      <x:c r="F53" s="170"/>
      <x:c r="G53" s="168" t="str">
        <x:v>平台限制：未登录不显示粉丝数</x:v>
      </x:c>
      <x:c r="H53" s="172" t="n">
        <x:v>46267</x:v>
      </x:c>
      <x:c r="I53" s="168" t="str">
        <x:v>https://shenzhenseoconference.com/speakers/andrea-abbondanza</x:v>
      </x:c>
    </x:row>
    <x:row r="54">
      <x:c r="A54" s="168" t="n">
        <x:v>53</x:v>
      </x:c>
      <x:c r="B54" s="168" t="str">
        <x:v>Andrea Abbondanza</x:v>
      </x:c>
      <x:c r="C54" s="168" t="str">
        <x:v>X</x:v>
      </x:c>
      <x:c r="D54" s="168" t="str">
        <x:v>Andre_abbo</x:v>
      </x:c>
      <x:c r="E54" s="168" t="str">
        <x:v>https://x.com/Andre_abbo</x:v>
      </x:c>
      <x:c r="F54" s="170" t="n">
        <x:v>38</x:v>
      </x:c>
      <x:c r="G54" s="168" t="str">
        <x:v>公开可见</x:v>
      </x:c>
      <x:c r="H54" s="172" t="n">
        <x:v>46267</x:v>
      </x:c>
      <x:c r="I54" s="168" t="str">
        <x:v>https://shenzhenseoconference.com/speakers/andrea-abbondanza</x:v>
      </x:c>
    </x:row>
    <x:row r="55">
      <x:c r="A55" s="168" t="n">
        <x:v>54</x:v>
      </x:c>
      <x:c r="B55" s="168" t="str">
        <x:v>Jonathan Kiekbusch</x:v>
      </x:c>
      <x:c r="C55" s="168" t="str">
        <x:v>LinkedIn</x:v>
      </x:c>
      <x:c r="D55" s="168" t="str">
        <x:v>in/jonathan-kiekbusch-65a84914</x:v>
      </x:c>
      <x:c r="E55" s="168" t="str">
        <x:v>https://www.linkedin.com/in/jonathan-kiekbusch-65a84914/</x:v>
      </x:c>
      <x:c r="F55" s="170"/>
      <x:c r="G55" s="168" t="str">
        <x:v>平台限制：未登录不显示粉丝数</x:v>
      </x:c>
      <x:c r="H55" s="172" t="n">
        <x:v>46267</x:v>
      </x:c>
      <x:c r="I55" s="168" t="str">
        <x:v>https://shenzhenseoconference.com/speakers/jonathan-kiekbusch</x:v>
      </x:c>
    </x:row>
    <x:row r="56">
      <x:c r="A56" s="168" t="n">
        <x:v>55</x:v>
      </x:c>
      <x:c r="B56" s="168" t="str">
        <x:v>Jonathan Kiekbusch</x:v>
      </x:c>
      <x:c r="C56" s="168" t="str">
        <x:v>YouTube</x:v>
      </x:c>
      <x:c r="D56" s="168" t="str">
        <x:v>user/johnkiek</x:v>
      </x:c>
      <x:c r="E56" s="168" t="str">
        <x:v>https://www.youtube.com/user/johnkiek</x:v>
      </x:c>
      <x:c r="F56" s="170" t="n">
        <x:v>57</x:v>
      </x:c>
      <x:c r="G56" s="168" t="str">
        <x:v>公开可见</x:v>
      </x:c>
      <x:c r="H56" s="172" t="n">
        <x:v>46267</x:v>
      </x:c>
      <x:c r="I56" s="168" t="str">
        <x:v>https://shenzhenseoconference.com/speakers/jonathan-kiekbusch</x:v>
      </x:c>
    </x:row>
    <x:row r="57">
      <x:c r="A57" s="168" t="n">
        <x:v>56</x:v>
      </x:c>
      <x:c r="B57" s="168" t="str">
        <x:v>Max Hobbs</x:v>
      </x:c>
      <x:c r="C57" s="168" t="str">
        <x:v>LinkedIn</x:v>
      </x:c>
      <x:c r="D57" s="168" t="str">
        <x:v>in/max-hobbs-uk</x:v>
      </x:c>
      <x:c r="E57" s="168" t="str">
        <x:v>https://www.linkedin.com/in/max-hobbs-uk/</x:v>
      </x:c>
      <x:c r="F57" s="170"/>
      <x:c r="G57" s="168" t="str">
        <x:v>平台限制：未登录不显示粉丝数</x:v>
      </x:c>
      <x:c r="H57" s="172" t="n">
        <x:v>46267</x:v>
      </x:c>
      <x:c r="I57" s="168" t="str">
        <x:v>https://shenzhenseoconference.com/speakers/max-hobbs</x:v>
      </x:c>
    </x:row>
    <x:row r="58">
      <x:c r="A58" s="168" t="n">
        <x:v>57</x:v>
      </x:c>
      <x:c r="B58" s="168" t="str">
        <x:v>Konstantin Sadekov</x:v>
      </x:c>
      <x:c r="C58" s="168" t="str">
        <x:v>LinkedIn</x:v>
      </x:c>
      <x:c r="D58" s="168" t="str">
        <x:v>in/konstantin-sadekov</x:v>
      </x:c>
      <x:c r="E58" s="168" t="str">
        <x:v>https://www.linkedin.com/in/konstantin-sadekov/</x:v>
      </x:c>
      <x:c r="F58" s="170"/>
      <x:c r="G58" s="168" t="str">
        <x:v>平台限制：未登录不显示粉丝数</x:v>
      </x:c>
      <x:c r="H58" s="172" t="n">
        <x:v>46267</x:v>
      </x:c>
      <x:c r="I58" s="168" t="str">
        <x:v>https://shenzhenseoconference.com/speakers/konstantin-sadekov</x:v>
      </x:c>
    </x:row>
    <x:row r="59">
      <x:c r="A59" s="168" t="n">
        <x:v>58</x:v>
      </x:c>
      <x:c r="B59" s="168" t="str">
        <x:v>Sam Penny</x:v>
      </x:c>
      <x:c r="C59" s="168" t="str">
        <x:v>LinkedIn</x:v>
      </x:c>
      <x:c r="D59" s="168" t="str">
        <x:v>in/sam-penny</x:v>
      </x:c>
      <x:c r="E59" s="168" t="str">
        <x:v>https://www.linkedin.com/in/sam-penny/</x:v>
      </x:c>
      <x:c r="F59" s="170"/>
      <x:c r="G59" s="168" t="str">
        <x:v>平台限制：未登录不显示粉丝数</x:v>
      </x:c>
      <x:c r="H59" s="172" t="n">
        <x:v>46267</x:v>
      </x:c>
      <x:c r="I59" s="168" t="str">
        <x:v>https://shenzhenseoconference.com/speakers/sam-penny</x:v>
      </x:c>
    </x:row>
    <x:row r="60">
      <x:c r="A60" s="168" t="n">
        <x:v>59</x:v>
      </x:c>
      <x:c r="B60" s="168" t="str">
        <x:v>Sam Penny</x:v>
      </x:c>
      <x:c r="C60" s="168" t="str">
        <x:v>X</x:v>
      </x:c>
      <x:c r="D60" s="168" t="str">
        <x:v>sampennyseo</x:v>
      </x:c>
      <x:c r="E60" s="168" t="str">
        <x:v>https://x.com/sampennyseo</x:v>
      </x:c>
      <x:c r="F60" s="170" t="n">
        <x:v>302</x:v>
      </x:c>
      <x:c r="G60" s="168" t="str">
        <x:v>公开可见</x:v>
      </x:c>
      <x:c r="H60" s="172" t="n">
        <x:v>46267</x:v>
      </x:c>
      <x:c r="I60" s="168" t="str">
        <x:v>https://shenzhenseoconference.com/speakers/sam-penny</x:v>
      </x:c>
    </x:row>
    <x:row r="61">
      <x:c r="A61" s="168" t="n">
        <x:v>60</x:v>
      </x:c>
      <x:c r="B61" s="168" t="str">
        <x:v>Helen Han</x:v>
      </x:c>
      <x:c r="C61" s="168" t="str">
        <x:v>LinkedIn</x:v>
      </x:c>
      <x:c r="D61" s="168" t="str">
        <x:v>in/helenhanau</x:v>
      </x:c>
      <x:c r="E61" s="168" t="str">
        <x:v>https://www.linkedin.com/in/helenhanau/</x:v>
      </x:c>
      <x:c r="F61" s="170"/>
      <x:c r="G61" s="168" t="str">
        <x:v>平台限制：未登录不显示粉丝数</x:v>
      </x:c>
      <x:c r="H61" s="172" t="n">
        <x:v>46267</x:v>
      </x:c>
      <x:c r="I61" s="168" t="str">
        <x:v>https://shenzhenseoconference.com/speakers/helen-han</x:v>
      </x:c>
    </x:row>
    <x:row r="62">
      <x:c r="A62" s="168" t="n">
        <x:v>61</x:v>
      </x:c>
      <x:c r="B62" s="168" t="str">
        <x:v>Jine Wu</x:v>
      </x:c>
      <x:c r="C62" s="168" t="str">
        <x:v>LinkedIn</x:v>
      </x:c>
      <x:c r="D62" s="168" t="str">
        <x:v>in/jinewu</x:v>
      </x:c>
      <x:c r="E62" s="168" t="str">
        <x:v>https://www.linkedin.com/in/jinewu/</x:v>
      </x:c>
      <x:c r="F62" s="170"/>
      <x:c r="G62" s="168" t="str">
        <x:v>平台限制：未登录不显示粉丝数</x:v>
      </x:c>
      <x:c r="H62" s="172" t="n">
        <x:v>46267</x:v>
      </x:c>
      <x:c r="I62" s="168" t="str">
        <x:v>https://shenzhenseoconference.com/speakers/jine-wu</x:v>
      </x:c>
    </x:row>
    <x:row r="63">
      <x:c r="A63" s="168" t="n">
        <x:v>62</x:v>
      </x:c>
      <x:c r="B63" s="168" t="str">
        <x:v>Henry Dalziel</x:v>
      </x:c>
      <x:c r="C63" s="168" t="str">
        <x:v>LinkedIn</x:v>
      </x:c>
      <x:c r="D63" s="168" t="str">
        <x:v>in/henrydalziel</x:v>
      </x:c>
      <x:c r="E63" s="168" t="str">
        <x:v>https://www.linkedin.com/in/henrydalziel/</x:v>
      </x:c>
      <x:c r="F63" s="170"/>
      <x:c r="G63" s="168" t="str">
        <x:v>平台限制：未登录不显示粉丝数</x:v>
      </x:c>
      <x:c r="H63" s="172" t="n">
        <x:v>46267</x:v>
      </x:c>
      <x:c r="I63" s="168" t="str">
        <x:v>https://shenzhenseoconference.com/speakers/henry-dalziel</x:v>
      </x:c>
    </x:row>
    <x:row r="64">
      <x:c r="A64" s="168" t="n">
        <x:v>63</x:v>
      </x:c>
      <x:c r="B64" s="168" t="str">
        <x:v>Henry Dalziel</x:v>
      </x:c>
      <x:c r="C64" s="168" t="str">
        <x:v>YouTube</x:v>
      </x:c>
      <x:c r="D64" s="168" t="str">
        <x:v>@HenryDalzielSEO</x:v>
      </x:c>
      <x:c r="E64" s="168" t="str">
        <x:v>https://www.youtube.com/@HenryDalzielSEO/</x:v>
      </x:c>
      <x:c r="F64" s="170" t="n">
        <x:v>371</x:v>
      </x:c>
      <x:c r="G64" s="168" t="str">
        <x:v>公开可见</x:v>
      </x:c>
      <x:c r="H64" s="172" t="n">
        <x:v>46267</x:v>
      </x:c>
      <x:c r="I64" s="168" t="str">
        <x:v>https://shenzhenseoconference.com/speakers/henry-dalziel</x:v>
      </x:c>
    </x:row>
    <x:row r="65">
      <x:c r="A65" s="168" t="n">
        <x:v>64</x:v>
      </x:c>
      <x:c r="B65" s="168" t="str">
        <x:v>Killian Kostiha</x:v>
      </x:c>
      <x:c r="C65" s="168" t="str">
        <x:v>LinkedIn</x:v>
      </x:c>
      <x:c r="D65" s="168" t="str">
        <x:v>in/kkostihapm</x:v>
      </x:c>
      <x:c r="E65" s="168" t="str">
        <x:v>https://www.linkedin.com/in/kkostihapm/</x:v>
      </x:c>
      <x:c r="F65" s="170"/>
      <x:c r="G65" s="168" t="str">
        <x:v>平台限制：未登录不显示粉丝数</x:v>
      </x:c>
      <x:c r="H65" s="172" t="n">
        <x:v>46267</x:v>
      </x:c>
      <x:c r="I65" s="168" t="str">
        <x:v>https://shenzhenseoconference.com/speakers/killian-kostiha</x:v>
      </x:c>
    </x:row>
    <x:row r="66">
      <x:c r="A66" s="168" t="n">
        <x:v>65</x:v>
      </x:c>
      <x:c r="B66" s="168" t="str">
        <x:v>Killian Kostiha</x:v>
      </x:c>
      <x:c r="C66" s="168" t="str">
        <x:v>X</x:v>
      </x:c>
      <x:c r="D66" s="168" t="str">
        <x:v>killiankostiha</x:v>
      </x:c>
      <x:c r="E66" s="168" t="str">
        <x:v>https://x.com/killiankostiha</x:v>
      </x:c>
      <x:c r="F66" s="170" t="n">
        <x:v>885</x:v>
      </x:c>
      <x:c r="G66" s="168" t="str">
        <x:v>公开可见</x:v>
      </x:c>
      <x:c r="H66" s="172" t="n">
        <x:v>46267</x:v>
      </x:c>
      <x:c r="I66" s="168" t="str">
        <x:v>https://shenzhenseoconference.com/speakers/killian-kostiha</x:v>
      </x:c>
    </x:row>
    <x:row r="67">
      <x:c r="A67" s="168" t="n">
        <x:v>66</x:v>
      </x:c>
      <x:c r="B67" s="168" t="str">
        <x:v>Jodie Chan</x:v>
      </x:c>
      <x:c r="C67" s="168" t="str">
        <x:v>LinkedIn</x:v>
      </x:c>
      <x:c r="D67" s="168" t="str">
        <x:v>in/jodiewyc</x:v>
      </x:c>
      <x:c r="E67" s="168" t="str">
        <x:v>https://www.linkedin.com/in/jodiewyc/</x:v>
      </x:c>
      <x:c r="F67" s="170"/>
      <x:c r="G67" s="168" t="str">
        <x:v>平台限制：未登录不显示粉丝数</x:v>
      </x:c>
      <x:c r="H67" s="172" t="n">
        <x:v>46267</x:v>
      </x:c>
      <x:c r="I67" s="168" t="str">
        <x:v>https://shenzhenseoconference.com/speakers/jodie-chan</x:v>
      </x:c>
    </x:row>
    <x:row r="68">
      <x:c r="A68" s="168" t="n">
        <x:v>67</x:v>
      </x:c>
      <x:c r="B68" s="168" t="str">
        <x:v>Divya Jain</x:v>
      </x:c>
      <x:c r="C68" s="168" t="str">
        <x:v>LinkedIn</x:v>
      </x:c>
      <x:c r="D68" s="168" t="str">
        <x:v>in/divyajain3</x:v>
      </x:c>
      <x:c r="E68" s="168" t="str">
        <x:v>https://www.linkedin.com/in/divyajain3/</x:v>
      </x:c>
      <x:c r="F68" s="170"/>
      <x:c r="G68" s="168" t="str">
        <x:v>平台限制：未登录不显示粉丝数</x:v>
      </x:c>
      <x:c r="H68" s="172" t="n">
        <x:v>46267</x:v>
      </x:c>
      <x:c r="I68" s="168" t="str">
        <x:v>https://shenzhenseoconference.com/speakers/divya-jain</x:v>
      </x:c>
    </x:row>
    <x:row r="69">
      <x:c r="A69" s="168" t="n">
        <x:v>68</x:v>
      </x:c>
      <x:c r="B69" s="168" t="str">
        <x:v>Wasin Mekkit</x:v>
      </x:c>
      <x:c r="C69" s="168" t="str">
        <x:v>LinkedIn</x:v>
      </x:c>
      <x:c r="D69" s="168" t="str">
        <x:v>in/wasin-mekkit</x:v>
      </x:c>
      <x:c r="E69" s="168" t="str">
        <x:v>https://www.linkedin.com/in/wasin-mekkit/</x:v>
      </x:c>
      <x:c r="F69" s="170"/>
      <x:c r="G69" s="168" t="str">
        <x:v>平台限制：未登录不显示粉丝数</x:v>
      </x:c>
      <x:c r="H69" s="172" t="n">
        <x:v>46267</x:v>
      </x:c>
      <x:c r="I69" s="168" t="str">
        <x:v>https://shenzhenseoconference.com/speakers/wasin-mekkit</x:v>
      </x:c>
    </x:row>
    <x:row r="70">
      <x:c r="A70" s="168" t="n">
        <x:v>69</x:v>
      </x:c>
      <x:c r="B70" s="168" t="str">
        <x:v>Mayi</x:v>
      </x:c>
      <x:c r="C70" s="168" t="str">
        <x:v>LinkedIn</x:v>
      </x:c>
      <x:c r="D70" s="168" t="str">
        <x:v>in/yiwanning-ma-642b52218</x:v>
      </x:c>
      <x:c r="E70" s="168" t="str">
        <x:v>https://www.linkedin.com/in/yiwanning-ma-642b52218/</x:v>
      </x:c>
      <x:c r="F70" s="170"/>
      <x:c r="G70" s="168" t="str">
        <x:v>平台限制：未登录不显示粉丝数</x:v>
      </x:c>
      <x:c r="H70" s="172" t="n">
        <x:v>46267</x:v>
      </x:c>
      <x:c r="I70" s="168" t="str">
        <x:v>https://shenzhenseoconference.com/speakers/mayi</x:v>
      </x:c>
    </x:row>
    <x:row r="71">
      <x:c r="A71" s="168" t="n">
        <x:v>70</x:v>
      </x:c>
      <x:c r="B71" s="168" t="str">
        <x:v>Ben Fang</x:v>
      </x:c>
      <x:c r="C71" s="168" t="str">
        <x:v>LinkedIn</x:v>
      </x:c>
      <x:c r="D71" s="168" t="str">
        <x:v>in/ben-fang-0817325</x:v>
      </x:c>
      <x:c r="E71" s="168" t="str">
        <x:v>https://www.linkedin.com/in/ben-fang-0817325/</x:v>
      </x:c>
      <x:c r="F71" s="170"/>
      <x:c r="G71" s="168" t="str">
        <x:v>平台限制：未登录不显示粉丝数</x:v>
      </x:c>
      <x:c r="H71" s="172" t="n">
        <x:v>46267</x:v>
      </x:c>
      <x:c r="I71" s="168" t="str">
        <x:v>https://shenzhenseoconference.com/speakers/ben-fang</x:v>
      </x:c>
    </x:row>
    <x:row r="72">
      <x:c r="A72" s="168" t="n">
        <x:v>71</x:v>
      </x:c>
      <x:c r="B72" s="168" t="str">
        <x:v>Ben Fang</x:v>
      </x:c>
      <x:c r="C72" s="168" t="str">
        <x:v>YouTube</x:v>
      </x:c>
      <x:c r="D72" s="168" t="str">
        <x:v>channel/UC552BM8NTTkyHfh7ueAuaZg</x:v>
      </x:c>
      <x:c r="E72" s="168" t="str">
        <x:v>https://www.youtube.com/channel/UC552BM8NTTkyHfh7ueAuaZg</x:v>
      </x:c>
      <x:c r="F72" s="170" t="n">
        <x:v>41</x:v>
      </x:c>
      <x:c r="G72" s="168" t="str">
        <x:v>公开可见</x:v>
      </x:c>
      <x:c r="H72" s="172" t="n">
        <x:v>46267</x:v>
      </x:c>
      <x:c r="I72" s="168" t="str">
        <x:v>https://shenzhenseoconference.com/speakers/ben-fang</x:v>
      </x:c>
    </x:row>
    <x:row r="73">
      <x:c r="A73" s="168" t="n">
        <x:v>72</x:v>
      </x:c>
      <x:c r="B73" s="168" t="str">
        <x:v>Tupa Lee</x:v>
      </x:c>
      <x:c r="C73" s="168" t="str">
        <x:v>LinkedIn</x:v>
      </x:c>
      <x:c r="D73" s="168" t="str">
        <x:v>in/tupa-lee-756944380</x:v>
      </x:c>
      <x:c r="E73" s="168" t="str">
        <x:v>https://www.linkedin.com/in/tupa-lee-756944380/</x:v>
      </x:c>
      <x:c r="F73" s="170"/>
      <x:c r="G73" s="168" t="str">
        <x:v>平台限制：未登录不显示粉丝数</x:v>
      </x:c>
      <x:c r="H73" s="172" t="n">
        <x:v>46267</x:v>
      </x:c>
      <x:c r="I73" s="168" t="str">
        <x:v>https://shenzhenseoconference.com/speakers/tupa-lee</x:v>
      </x:c>
    </x:row>
    <x:row r="74">
      <x:c r="A74" s="168" t="n">
        <x:v>73</x:v>
      </x:c>
      <x:c r="B74" s="168" t="str">
        <x:v>Marcus Pentzek</x:v>
      </x:c>
      <x:c r="C74" s="168" t="str">
        <x:v>LinkedIn</x:v>
      </x:c>
      <x:c r="D74" s="168" t="str">
        <x:v>in/marcuspentzek</x:v>
      </x:c>
      <x:c r="E74" s="168" t="str">
        <x:v>https://www.linkedin.com/in/marcuspentzek/</x:v>
      </x:c>
      <x:c r="F74" s="170"/>
      <x:c r="G74" s="168" t="str">
        <x:v>平台限制：未登录不显示粉丝数</x:v>
      </x:c>
      <x:c r="H74" s="172" t="n">
        <x:v>46267</x:v>
      </x:c>
      <x:c r="I74" s="168" t="str">
        <x:v>https://shenzhenseoconference.com/speakers/marcus-pentzek</x:v>
      </x:c>
    </x:row>
    <x:row r="75">
      <x:c r="A75" s="168" t="n">
        <x:v>74</x:v>
      </x:c>
      <x:c r="B75" s="168" t="str">
        <x:v>Marcus Pentzek</x:v>
      </x:c>
      <x:c r="C75" s="168" t="str">
        <x:v>X</x:v>
      </x:c>
      <x:c r="D75" s="168" t="str">
        <x:v>MPentzek</x:v>
      </x:c>
      <x:c r="E75" s="168" t="str">
        <x:v>https://x.com/MPentzek</x:v>
      </x:c>
      <x:c r="F75" s="170" t="n">
        <x:v>101</x:v>
      </x:c>
      <x:c r="G75" s="168" t="str">
        <x:v>公开可见</x:v>
      </x:c>
      <x:c r="H75" s="172" t="n">
        <x:v>46267</x:v>
      </x:c>
      <x:c r="I75" s="168" t="str">
        <x:v>https://shenzhenseoconference.com/speakers/marcus-pentzek</x:v>
      </x:c>
    </x:row>
    <x:row r="76">
      <x:c r="A76" s="168" t="n">
        <x:v>75</x:v>
      </x:c>
      <x:c r="B76" s="168" t="str">
        <x:v>Tanya Van Gastel</x:v>
      </x:c>
      <x:c r="C76" s="168" t="str">
        <x:v>LinkedIn</x:v>
      </x:c>
      <x:c r="D76" s="168" t="str">
        <x:v>in/tanyavangastel</x:v>
      </x:c>
      <x:c r="E76" s="168" t="str">
        <x:v>https://www.linkedin.com/in/tanyavangastel/</x:v>
      </x:c>
      <x:c r="F76" s="170"/>
      <x:c r="G76" s="168" t="str">
        <x:v>平台限制：未登录不显示粉丝数</x:v>
      </x:c>
      <x:c r="H76" s="172" t="n">
        <x:v>46267</x:v>
      </x:c>
      <x:c r="I76" s="168" t="str">
        <x:v>https://shenzhenseoconference.com/speakers/tanya-van-gastel</x:v>
      </x:c>
    </x:row>
    <x:row r="77">
      <x:c r="A77" s="168" t="n">
        <x:v>76</x:v>
      </x:c>
      <x:c r="B77" s="168" t="str">
        <x:v>Tanya Van Gastel</x:v>
      </x:c>
      <x:c r="C77" s="168" t="str">
        <x:v>YouTube</x:v>
      </x:c>
      <x:c r="D77" s="168" t="str">
        <x:v>@foundertanya</x:v>
      </x:c>
      <x:c r="E77" s="168" t="str">
        <x:v>https://www.youtube.com/@foundertanya</x:v>
      </x:c>
      <x:c r="F77" s="170" t="n">
        <x:v>4250</x:v>
      </x:c>
      <x:c r="G77" s="168" t="str">
        <x:v>公开可见</x:v>
      </x:c>
      <x:c r="H77" s="172" t="n">
        <x:v>46267</x:v>
      </x:c>
      <x:c r="I77" s="168" t="str">
        <x:v>https://shenzhenseoconference.com/speakers/tanya-van-gastel</x:v>
      </x:c>
    </x:row>
    <x:row r="78">
      <x:c r="A78" s="168" t="n">
        <x:v>77</x:v>
      </x:c>
      <x:c r="B78" s="168" t="str">
        <x:v>Tom So</x:v>
      </x:c>
      <x:c r="C78" s="168" t="str">
        <x:v>LinkedIn</x:v>
      </x:c>
      <x:c r="D78" s="168" t="str">
        <x:v>in/tom-so</x:v>
      </x:c>
      <x:c r="E78" s="168" t="str">
        <x:v>https://www.linkedin.com/in/tom-so/</x:v>
      </x:c>
      <x:c r="F78" s="170"/>
      <x:c r="G78" s="168" t="str">
        <x:v>平台限制：未登录不显示粉丝数</x:v>
      </x:c>
      <x:c r="H78" s="172" t="n">
        <x:v>46267</x:v>
      </x:c>
      <x:c r="I78" s="168" t="str">
        <x:v>https://shenzhenseoconference.com/speakers/tom-so</x:v>
      </x:c>
    </x:row>
    <x:row r="79">
      <x:c r="A79" s="168" t="n">
        <x:v>78</x:v>
      </x:c>
      <x:c r="B79" s="168" t="str">
        <x:v>Kiana Shen</x:v>
      </x:c>
      <x:c r="C79" s="168" t="str">
        <x:v>LinkedIn</x:v>
      </x:c>
      <x:c r="D79" s="168" t="str">
        <x:v>in/kiana-shen-6054b11b6</x:v>
      </x:c>
      <x:c r="E79" s="168" t="str">
        <x:v>https://www.linkedin.com/in/kiana-shen-6054b11b6/</x:v>
      </x:c>
      <x:c r="F79" s="170"/>
      <x:c r="G79" s="168" t="str">
        <x:v>平台限制：未登录不显示粉丝数</x:v>
      </x:c>
      <x:c r="H79" s="172" t="n">
        <x:v>46267</x:v>
      </x:c>
      <x:c r="I79" s="168" t="str">
        <x:v>https://shenzhenseoconference.com/speakers/kiana-shen</x:v>
      </x:c>
    </x:row>
    <x:row r="80">
      <x:c r="A80" s="168" t="n">
        <x:v>79</x:v>
      </x:c>
      <x:c r="B80" s="168" t="str">
        <x:v>Sacha Fournier</x:v>
      </x:c>
      <x:c r="C80" s="168" t="str">
        <x:v>LinkedIn</x:v>
      </x:c>
      <x:c r="D80" s="168" t="str">
        <x:v>in/ssfournier</x:v>
      </x:c>
      <x:c r="E80" s="168" t="str">
        <x:v>https://www.linkedin.com/in/ssfournier/</x:v>
      </x:c>
      <x:c r="F80" s="170"/>
      <x:c r="G80" s="168" t="str">
        <x:v>平台限制：未登录不显示粉丝数</x:v>
      </x:c>
      <x:c r="H80" s="172" t="n">
        <x:v>46267</x:v>
      </x:c>
      <x:c r="I80" s="168" t="str">
        <x:v>https://shenzhenseoconference.com/speakers/sacha-fournier</x:v>
      </x:c>
    </x:row>
    <x:row r="81">
      <x:c r="A81" s="168" t="n">
        <x:v>80</x:v>
      </x:c>
      <x:c r="B81" s="168" t="str">
        <x:v>Sacha Fournier</x:v>
      </x:c>
      <x:c r="C81" s="168" t="str">
        <x:v>X</x:v>
      </x:c>
      <x:c r="D81" s="168" t="str">
        <x:v>sachf_</x:v>
      </x:c>
      <x:c r="E81" s="168" t="str">
        <x:v>https://x.com/sachf_</x:v>
      </x:c>
      <x:c r="F81" s="170" t="n">
        <x:v>2882</x:v>
      </x:c>
      <x:c r="G81" s="168" t="str">
        <x:v>公开可见</x:v>
      </x:c>
      <x:c r="H81" s="172" t="n">
        <x:v>46267</x:v>
      </x:c>
      <x:c r="I81" s="168" t="str">
        <x:v>https://shenzhenseoconference.com/speakers/sacha-fournier</x:v>
      </x:c>
    </x:row>
    <x:row r="82">
      <x:c r="A82" s="168" t="n">
        <x:v>81</x:v>
      </x:c>
      <x:c r="B82" s="168" t="str">
        <x:v>Jamie I.F.</x:v>
      </x:c>
      <x:c r="C82" s="168" t="str">
        <x:v>LinkedIn</x:v>
      </x:c>
      <x:c r="D82" s="168" t="str">
        <x:v>in/jamie-if</x:v>
      </x:c>
      <x:c r="E82" s="168" t="str">
        <x:v>https://www.linkedin.com/in/jamie-if/</x:v>
      </x:c>
      <x:c r="F82" s="170"/>
      <x:c r="G82" s="168" t="str">
        <x:v>平台限制：未登录不显示粉丝数</x:v>
      </x:c>
      <x:c r="H82" s="172" t="n">
        <x:v>46267</x:v>
      </x:c>
      <x:c r="I82" s="168" t="str">
        <x:v>https://shenzhenseoconference.com/speakers/jamie-i-f</x:v>
      </x:c>
    </x:row>
    <x:row r="83">
      <x:c r="A83" s="168" t="n">
        <x:v>82</x:v>
      </x:c>
      <x:c r="B83" s="168" t="str">
        <x:v>Jamie I.F.</x:v>
      </x:c>
      <x:c r="C83" s="168" t="str">
        <x:v>X</x:v>
      </x:c>
      <x:c r="D83" s="168" t="str">
        <x:v>Jamie_IF</x:v>
      </x:c>
      <x:c r="E83" s="168" t="str">
        <x:v>https://x.com/Jamie_IF</x:v>
      </x:c>
      <x:c r="F83" s="170" t="n">
        <x:v>25900</x:v>
      </x:c>
      <x:c r="G83" s="168" t="str">
        <x:v>公开可见</x:v>
      </x:c>
      <x:c r="H83" s="172" t="n">
        <x:v>46267</x:v>
      </x:c>
      <x:c r="I83" s="168" t="str">
        <x:v>https://shenzhenseoconference.com/speakers/jamie-i-f</x:v>
      </x:c>
    </x:row>
    <x:row r="84">
      <x:c r="A84" s="168" t="n">
        <x:v>83</x:v>
      </x:c>
      <x:c r="B84" s="168" t="str">
        <x:v>Jamie I.F.</x:v>
      </x:c>
      <x:c r="C84" s="168" t="str">
        <x:v>YouTube</x:v>
      </x:c>
      <x:c r="D84" s="168" t="str">
        <x:v>channel/UCUYu4XfhuiuWwzhLka2L9Pw</x:v>
      </x:c>
      <x:c r="E84" s="168" t="str">
        <x:v>https://www.youtube.com/channel/UCUYu4XfhuiuWwzhLka2L9Pw</x:v>
      </x:c>
      <x:c r="F84" s="170" t="n">
        <x:v>1590</x:v>
      </x:c>
      <x:c r="G84" s="168" t="str">
        <x:v>公开可见</x:v>
      </x:c>
      <x:c r="H84" s="172" t="n">
        <x:v>46267</x:v>
      </x:c>
      <x:c r="I84" s="168" t="str">
        <x:v>https://shenzhenseoconference.com/speakers/jamie-i-f</x:v>
      </x:c>
    </x:row>
    <x:row r="85">
      <x:c r="A85" s="168" t="n">
        <x:v>84</x:v>
      </x:c>
      <x:c r="B85" s="168" t="str">
        <x:v>Vinayak Gupta</x:v>
      </x:c>
      <x:c r="C85" s="168" t="str">
        <x:v>LinkedIn</x:v>
      </x:c>
      <x:c r="D85" s="168" t="str">
        <x:v>in/vin-wordscloud</x:v>
      </x:c>
      <x:c r="E85" s="168" t="str">
        <x:v>https://www.linkedin.com/in/vin-wordscloud/</x:v>
      </x:c>
      <x:c r="F85" s="170"/>
      <x:c r="G85" s="168" t="str">
        <x:v>平台限制：未登录不显示粉丝数</x:v>
      </x:c>
      <x:c r="H85" s="172" t="n">
        <x:v>46267</x:v>
      </x:c>
      <x:c r="I85" s="168" t="str">
        <x:v>https://shenzhenseoconference.com/speakers/vinayak-gupta</x:v>
      </x:c>
    </x:row>
    <x:row r="86">
      <x:c r="A86" s="168" t="n">
        <x:v>85</x:v>
      </x:c>
      <x:c r="B86" s="168" t="str">
        <x:v>Sharoz Dawa</x:v>
      </x:c>
      <x:c r="C86" s="168" t="str">
        <x:v>LinkedIn</x:v>
      </x:c>
      <x:c r="D86" s="168" t="str">
        <x:v>in/sharozdawa</x:v>
      </x:c>
      <x:c r="E86" s="168" t="str">
        <x:v>https://www.linkedin.com/in/sharozdawa/</x:v>
      </x:c>
      <x:c r="F86" s="170"/>
      <x:c r="G86" s="168" t="str">
        <x:v>平台限制：未登录不显示粉丝数</x:v>
      </x:c>
      <x:c r="H86" s="172" t="n">
        <x:v>46267</x:v>
      </x:c>
      <x:c r="I86" s="168" t="str">
        <x:v>https://shenzhenseoconference.com/speakers/sharoz-dawa</x:v>
      </x:c>
    </x:row>
    <x:row r="87">
      <x:c r="A87" s="168" t="n">
        <x:v>86</x:v>
      </x:c>
      <x:c r="B87" s="168" t="str">
        <x:v>Sharoz Dawa</x:v>
      </x:c>
      <x:c r="C87" s="168" t="str">
        <x:v>X</x:v>
      </x:c>
      <x:c r="D87" s="168" t="str">
        <x:v>SharozDawa</x:v>
      </x:c>
      <x:c r="E87" s="168" t="str">
        <x:v>https://x.com/SharozDawa</x:v>
      </x:c>
      <x:c r="F87" s="170" t="n">
        <x:v>1667</x:v>
      </x:c>
      <x:c r="G87" s="168" t="str">
        <x:v>公开可见</x:v>
      </x:c>
      <x:c r="H87" s="172" t="n">
        <x:v>46267</x:v>
      </x:c>
      <x:c r="I87" s="168" t="str">
        <x:v>https://shenzhenseoconference.com/speakers/sharoz-dawa</x:v>
      </x:c>
    </x:row>
    <x:row r="88">
      <x:c r="A88" s="168" t="n">
        <x:v>87</x:v>
      </x:c>
      <x:c r="B88" s="168" t="str">
        <x:v>Magenta Qin</x:v>
      </x:c>
      <x:c r="C88" s="168" t="str">
        <x:v>LinkedIn</x:v>
      </x:c>
      <x:c r="D88" s="168" t="str">
        <x:v>in/mu-qin-0a29621b8</x:v>
      </x:c>
      <x:c r="E88" s="168" t="str">
        <x:v>https://www.linkedin.com/in/mu-qin-0a29621b8/</x:v>
      </x:c>
      <x:c r="F88" s="170"/>
      <x:c r="G88" s="168" t="str">
        <x:v>平台限制：未登录不显示粉丝数</x:v>
      </x:c>
      <x:c r="H88" s="172" t="n">
        <x:v>46267</x:v>
      </x:c>
      <x:c r="I88" s="168" t="str">
        <x:v>https://shenzhenseoconference.com/speakers/magenta-qin</x:v>
      </x:c>
    </x:row>
    <x:row r="89">
      <x:c r="A89" s="168" t="n">
        <x:v>88</x:v>
      </x:c>
      <x:c r="B89" s="168" t="str">
        <x:v>Jabez Reuben</x:v>
      </x:c>
      <x:c r="C89" s="168" t="str">
        <x:v>LinkedIn</x:v>
      </x:c>
      <x:c r="D89" s="168" t="str">
        <x:v>in/jabezreuben</x:v>
      </x:c>
      <x:c r="E89" s="168" t="str">
        <x:v>https://www.linkedin.com/in/jabezreuben/</x:v>
      </x:c>
      <x:c r="F89" s="170"/>
      <x:c r="G89" s="168" t="str">
        <x:v>平台限制：未登录不显示粉丝数</x:v>
      </x:c>
      <x:c r="H89" s="172" t="n">
        <x:v>46267</x:v>
      </x:c>
      <x:c r="I89" s="168" t="str">
        <x:v>https://shenzhenseoconference.com/speakers/jabez-reuben</x:v>
      </x:c>
    </x:row>
    <x:row r="90">
      <x:c r="A90" s="168" t="n">
        <x:v>89</x:v>
      </x:c>
      <x:c r="B90" s="168" t="str">
        <x:v>Jabez Reuben</x:v>
      </x:c>
      <x:c r="C90" s="168" t="str">
        <x:v>X</x:v>
      </x:c>
      <x:c r="D90" s="168" t="str">
        <x:v>jabezreuben</x:v>
      </x:c>
      <x:c r="E90" s="168" t="str">
        <x:v>https://x.com/jabezreuben</x:v>
      </x:c>
      <x:c r="F90" s="170" t="n">
        <x:v>530</x:v>
      </x:c>
      <x:c r="G90" s="168" t="str">
        <x:v>公开可见</x:v>
      </x:c>
      <x:c r="H90" s="172" t="n">
        <x:v>46267</x:v>
      </x:c>
      <x:c r="I90" s="168" t="str">
        <x:v>https://shenzhenseoconference.com/speakers/jabez-reuben</x:v>
      </x:c>
    </x:row>
    <x:row r="91">
      <x:c r="A91" s="168" t="n">
        <x:v>90</x:v>
      </x:c>
      <x:c r="B91" s="168" t="str">
        <x:v>Ilman Akbar</x:v>
      </x:c>
      <x:c r="C91" s="168" t="str">
        <x:v>LinkedIn</x:v>
      </x:c>
      <x:c r="D91" s="168" t="str">
        <x:v>in/ilmanakbar</x:v>
      </x:c>
      <x:c r="E91" s="168" t="str">
        <x:v>https://www.linkedin.com/in/ilmanakbar/</x:v>
      </x:c>
      <x:c r="F91" s="170"/>
      <x:c r="G91" s="168" t="str">
        <x:v>平台限制：未登录不显示粉丝数</x:v>
      </x:c>
      <x:c r="H91" s="172" t="n">
        <x:v>46267</x:v>
      </x:c>
      <x:c r="I91" s="168" t="str">
        <x:v>https://shenzhenseoconference.com/speakers/ilman-akbar</x:v>
      </x:c>
    </x:row>
    <x:row r="92">
      <x:c r="A92" s="168" t="n">
        <x:v>91</x:v>
      </x:c>
      <x:c r="B92" s="168" t="str">
        <x:v>Ilman Akbar</x:v>
      </x:c>
      <x:c r="C92" s="168" t="str">
        <x:v>X</x:v>
      </x:c>
      <x:c r="D92" s="168" t="str">
        <x:v>ilmanakbar</x:v>
      </x:c>
      <x:c r="E92" s="168" t="str">
        <x:v>https://x.com/ilmanakbar</x:v>
      </x:c>
      <x:c r="F92" s="170" t="n">
        <x:v>3806</x:v>
      </x:c>
      <x:c r="G92" s="168" t="str">
        <x:v>公开可见</x:v>
      </x:c>
      <x:c r="H92" s="172" t="n">
        <x:v>46267</x:v>
      </x:c>
      <x:c r="I92" s="168" t="str">
        <x:v>https://shenzhenseoconference.com/speakers/ilman-akbar</x:v>
      </x:c>
    </x:row>
    <x:row r="93">
      <x:c r="A93" s="168" t="n">
        <x:v>92</x:v>
      </x:c>
      <x:c r="B93" s="168" t="str">
        <x:v>Ilman Akbar</x:v>
      </x:c>
      <x:c r="C93" s="168" t="str">
        <x:v>YouTube</x:v>
      </x:c>
      <x:c r="D93" s="168" t="str">
        <x:v>@ilmanakbar</x:v>
      </x:c>
      <x:c r="E93" s="168" t="str">
        <x:v>https://www.youtube.com/@ilmanakbar/</x:v>
      </x:c>
      <x:c r="F93" s="170" t="n">
        <x:v>81700</x:v>
      </x:c>
      <x:c r="G93" s="168" t="str">
        <x:v>公开可见</x:v>
      </x:c>
      <x:c r="H93" s="172" t="n">
        <x:v>46267</x:v>
      </x:c>
      <x:c r="I93" s="168" t="str">
        <x:v>https://shenzhenseoconference.com/speakers/ilman-akbar</x:v>
      </x:c>
    </x:row>
    <x:row r="94">
      <x:c r="A94" s="168" t="n">
        <x:v>93</x:v>
      </x:c>
      <x:c r="B94" s="168" t="str">
        <x:v>Tori Long</x:v>
      </x:c>
      <x:c r="C94" s="168" t="str">
        <x:v>LinkedIn</x:v>
      </x:c>
      <x:c r="D94" s="168" t="str">
        <x:v>in/yaping-long-59373b87</x:v>
      </x:c>
      <x:c r="E94" s="168" t="str">
        <x:v>https://www.linkedin.com/in/yaping-long-59373b87/</x:v>
      </x:c>
      <x:c r="F94" s="170"/>
      <x:c r="G94" s="168" t="str">
        <x:v>平台限制：未登录不显示粉丝数</x:v>
      </x:c>
      <x:c r="H94" s="172" t="n">
        <x:v>46267</x:v>
      </x:c>
      <x:c r="I94" s="168" t="str">
        <x:v>https://shenzhenseoconference.com/speakers/tori-long</x:v>
      </x:c>
    </x:row>
    <x:row r="95">
      <x:c r="A95" s="168" t="n">
        <x:v>94</x:v>
      </x:c>
      <x:c r="B95" s="168" t="str">
        <x:v>Jacky Lin</x:v>
      </x:c>
      <x:c r="C95" s="168" t="str">
        <x:v>LinkedIn</x:v>
      </x:c>
      <x:c r="D95" s="168" t="str">
        <x:v>in/jacky-l-326ab2b8</x:v>
      </x:c>
      <x:c r="E95" s="168" t="str">
        <x:v>https://www.linkedin.com/in/jacky-l-326ab2b8/</x:v>
      </x:c>
      <x:c r="F95" s="170"/>
      <x:c r="G95" s="168" t="str">
        <x:v>平台限制：未登录不显示粉丝数</x:v>
      </x:c>
      <x:c r="H95" s="172" t="n">
        <x:v>46267</x:v>
      </x:c>
      <x:c r="I95" s="168" t="str">
        <x:v>https://shenzhenseoconference.com/speakers/jacky-lin</x:v>
      </x:c>
    </x:row>
  </x:sheetData>
  <x:conditionalFormatting sqref="G2:G95">
    <x:cfRule type="containsText" dxfId="0" priority="1" operator="containsText" text="公开可见"/>
    <x:cfRule type="containsText" dxfId="1" priority="2" operator="containsText" text="平台限制"/>
  </x:conditionalFormatting>
  <x:pageMargins left="0.7" right="0.7" top="0.75" bottom="0.75" header="0.3" footer="0.3"/>
  <x:tableParts count="1">
    <x:tablePart xmlns:r="http://schemas.openxmlformats.org/officeDocument/2006/relationships" r:id="R6dbd00bcf3df45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42" customHeight="1">
      <x:c r="A1" s="173" t="str">
        <x:v>口径、来源与限制</x:v>
      </x:c>
      <x:c r="B1" s="173"/>
      <x:c r="C1" s="173"/>
      <x:c r="D1" s="173"/>
      <x:c r="E1" s="173"/>
      <x:c r="F1" s="173"/>
    </x:row>
    <x:row r="2">
      <x:c r="A2" s="139"/>
      <x:c r="B2" s="139"/>
      <x:c r="C2" s="139"/>
      <x:c r="D2" s="139"/>
      <x:c r="E2" s="139"/>
      <x:c r="F2" s="139"/>
    </x:row>
    <x:row r="3" ht="42" customHeight="1">
      <x:c r="A3" s="174" t="str">
        <x:v>项目</x:v>
      </x:c>
      <x:c r="B3" s="174" t="str">
        <x:v>说明</x:v>
      </x:c>
      <x:c r="C3" s="139"/>
      <x:c r="D3" s="139"/>
      <x:c r="E3" s="139"/>
      <x:c r="F3" s="139"/>
    </x:row>
    <x:row r="4" ht="42" customHeight="1">
      <x:c r="A4" s="175" t="str">
        <x:v>名单范围</x:v>
      </x:c>
      <x:c r="B4" s="176" t="str">
        <x:v>以 Shenzhen SEO Conference 官网 2026 Lineup 为准；Tanya Van Gastel 同时出现在 VIP Networking 与 Side Events，按独立人物去重，因此共 58 人。</x:v>
      </x:c>
      <x:c r="C4" s="139"/>
      <x:c r="D4" s="139"/>
      <x:c r="E4" s="139"/>
      <x:c r="F4" s="139"/>
    </x:row>
    <x:row r="5" ht="42" customHeight="1">
      <x:c r="A5" s="177" t="str">
        <x:v>个人简介</x:v>
      </x:c>
      <x:c r="B5" s="178" t="str">
        <x:v>依据每位讲者官网个人页的结构化 Person 描述，整理为中文简述；Sharoz Dawa 的官网页面未提供 description，已明确标注。</x:v>
      </x:c>
      <x:c r="C5" s="139"/>
      <x:c r="D5" s="139"/>
      <x:c r="E5" s="139"/>
      <x:c r="F5" s="139"/>
    </x:row>
    <x:row r="6" ht="42" customHeight="1">
      <x:c r="A6" s="177" t="str">
        <x:v>社交账号</x:v>
      </x:c>
      <x:c r="B6" s="178" t="str">
        <x:v>只收录大会官网个人页 sameAs / 社交按钮明确给出的账号，未自行猜测或补充同名账号。</x:v>
      </x:c>
      <x:c r="C6" s="139"/>
      <x:c r="D6" s="139"/>
      <x:c r="E6" s="139"/>
      <x:c r="F6" s="139"/>
    </x:row>
    <x:row r="7" ht="42" customHeight="1">
      <x:c r="A7" s="177" t="str">
        <x:v>粉丝指标</x:v>
      </x:c>
      <x:c r="B7" s="178" t="str">
        <x:v>X 使用公开 Followers；YouTube 使用频道公开订阅者；LinkedIn 对未登录访问显示注册墙，故不填粉丝数，也不以 Connections 冒充 Followers。</x:v>
      </x:c>
      <x:c r="C7" s="139"/>
      <x:c r="D7" s="139"/>
      <x:c r="E7" s="139"/>
      <x:c r="F7" s="139"/>
    </x:row>
    <x:row r="8" ht="42" customHeight="1">
      <x:c r="A8" s="177" t="str">
        <x:v>公开受众合计</x:v>
      </x:c>
      <x:c r="B8" s="178" t="str">
        <x:v>讲者总览中的合计为 X + YouTube 的简单相加，未去重且不包含 LinkedIn，仅作为公开平台规模参考。</x:v>
      </x:c>
      <x:c r="C8" s="139"/>
      <x:c r="D8" s="139"/>
      <x:c r="E8" s="139"/>
      <x:c r="F8" s="139"/>
    </x:row>
    <x:row r="9" ht="42" customHeight="1">
      <x:c r="A9" s="177" t="str">
        <x:v>核对时间</x:v>
      </x:c>
      <x:c r="B9" s="178" t="str">
        <x:v>2026-09-02，Asia/Shanghai。粉丝数会持续变化，后续使用时建议重新核对。</x:v>
      </x:c>
      <x:c r="C9" s="139"/>
      <x:c r="D9" s="139"/>
      <x:c r="E9" s="139"/>
      <x:c r="F9" s="139"/>
    </x:row>
    <x:row r="10" ht="42" customHeight="1">
      <x:c r="A10" s="179" t="str">
        <x:v>异常处理</x:v>
      </x:c>
      <x:c r="B10" s="180" t="str">
        <x:v>官网未提供账号的讲者显示空白并在备注中标明；没有把搜索结果中的推定账号纳入。</x:v>
      </x:c>
      <x:c r="C10" s="139"/>
      <x:c r="D10" s="139"/>
      <x:c r="E10" s="139"/>
      <x:c r="F10" s="139"/>
    </x:row>
    <x:row r="11" ht="42" customHeight="1">
      <x:c r="A11" s="139"/>
      <x:c r="B11" s="139"/>
      <x:c r="C11" s="139"/>
      <x:c r="D11" s="139"/>
      <x:c r="E11" s="139"/>
      <x:c r="F11" s="139"/>
    </x:row>
    <x:row r="12" ht="42" customHeight="1">
      <x:c r="A12" s="174" t="str">
        <x:v>主要来源</x:v>
      </x:c>
      <x:c r="B12" s="174" t="str">
        <x:v>URL</x:v>
      </x:c>
      <x:c r="C12" s="139"/>
      <x:c r="D12" s="139"/>
      <x:c r="E12" s="139"/>
      <x:c r="F12" s="139"/>
    </x:row>
    <x:row r="13" ht="42" customHeight="1">
      <x:c r="A13" s="181" t="str">
        <x:v>大会讲者总页</x:v>
      </x:c>
      <x:c r="B13" s="182" t="str">
        <x:v>https://shenzhenseoconference.com/speakers</x:v>
      </x:c>
      <x:c r="C13" s="139"/>
      <x:c r="D13" s="139"/>
      <x:c r="E13" s="139"/>
      <x:c r="F13" s="139"/>
    </x:row>
    <x:row r="14" ht="42" customHeight="1">
      <x:c r="A14" s="183" t="str">
        <x:v>讲者个人页</x:v>
      </x:c>
      <x:c r="B14" s="184" t="str">
        <x:v>逐人 URL 见“讲者总览”M 列与“账号明细”I 列</x:v>
      </x:c>
      <x:c r="C14" s="139"/>
      <x:c r="D14" s="139"/>
      <x:c r="E14" s="139"/>
      <x:c r="F14" s="139"/>
    </x:row>
    <x:row r="15" ht="42" customHeight="1">
      <x:c r="A15" s="185" t="str">
        <x:v>社交平台</x:v>
      </x:c>
      <x:c r="B15" s="186" t="str">
        <x:v>逐账号 URL 见“账号明细”E 列；粉丝数直接读取对应公开页面</x:v>
      </x:c>
      <x:c r="C15" s="139"/>
      <x:c r="D15" s="139"/>
      <x:c r="E15" s="139"/>
      <x:c r="F15" s="139"/>
    </x:row>
  </x:sheetData>
  <x:mergeCells>
    <x:mergeCell ref="A1:F1"/>
  </x:mergeCells>
  <x:pageMargins left="0.7" right="0.7" top="0.75" bottom="0.75" header="0.3" footer="0.3"/>
</x:worksheet>
</file>